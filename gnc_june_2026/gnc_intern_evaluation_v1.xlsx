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name="README" sheetId="1" state="visible" r:id="rId1"/>
    <sheet name="Scoring" sheetId="2" state="visible" r:id="rId2"/>
    <sheet name="Ranking" sheetId="3" state="visible" r:id="rId3"/>
    <sheet name="Weights" sheetId="4" state="visible" r:id="rId4"/>
    <sheet name="Rubric" sheetId="5" state="visible" r:id="rId5"/>
    <sheet name="Uni_Tiers" sheetId="6" state="visible" r:id="rId6"/>
    <sheet name="Dept_Fit" sheetId="7" state="visible" r:id="rId7"/>
    <sheet name="Status_Map" sheetId="8" state="visible" r:id="rId8"/>
    <sheet name="Teknofest_Map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color theme="1"/>
      <sz val="11"/>
      <scheme val="minor"/>
    </font>
    <font>
      <name val="Arial"/>
      <b val="1"/>
      <color rgb="FF1F3864"/>
      <sz val="16"/>
    </font>
    <font>
      <name val="Arial"/>
      <color rgb="FF000000"/>
      <sz val="11"/>
    </font>
    <font>
      <name val="Arial"/>
      <b val="1"/>
      <color rgb="FF1F3864"/>
      <sz val="12"/>
    </font>
    <font>
      <name val="Arial"/>
      <b val="1"/>
      <color rgb="FFFFFFFF"/>
      <sz val="11"/>
    </font>
    <font>
      <name val="Calibri"/>
      <sz val="11"/>
    </font>
    <font>
      <name val="Calibri"/>
      <color theme="1"/>
      <sz val="11"/>
    </font>
    <font>
      <name val="Arial"/>
      <color rgb="FF0000FF"/>
      <sz val="10"/>
    </font>
    <font>
      <name val="Arial"/>
      <b val="1"/>
      <color rgb="FF000000"/>
      <sz val="11"/>
    </font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  <sz val="10"/>
    </font>
    <font>
      <name val="Arial"/>
      <b val="1"/>
      <color rgb="FFC00000"/>
      <sz val="12"/>
    </font>
    <font>
      <name val="Arial"/>
      <i val="1"/>
      <color rgb="FF808080"/>
      <sz val="10"/>
    </font>
    <font>
      <name val="Arial"/>
      <b val="1"/>
      <color theme="1"/>
      <sz val="10"/>
    </font>
    <font>
      <name val="Arial"/>
      <i val="1"/>
      <color rgb="FF595959"/>
      <sz val="10"/>
    </font>
    <font>
      <name val="Arial"/>
      <b val="1"/>
      <color rgb="FF0000FF"/>
      <sz val="10"/>
    </font>
  </fonts>
  <fills count="10">
    <fill>
      <patternFill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6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center" vertical="center"/>
    </xf>
    <xf numFmtId="164" fontId="8" fillId="8" borderId="4" applyAlignment="1" pivotButton="0" quotePrefix="0" xfId="0">
      <alignment horizontal="center" vertical="center"/>
    </xf>
    <xf numFmtId="0" fontId="8" fillId="8" borderId="4" applyAlignment="1" pivotButton="0" quotePrefix="0" xfId="0">
      <alignment horizontal="center" vertical="center"/>
    </xf>
    <xf numFmtId="164" fontId="9" fillId="8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left" vertical="center" wrapText="1"/>
    </xf>
    <xf numFmtId="0" fontId="14" fillId="0" borderId="4" pivotButton="0" quotePrefix="0" xfId="0"/>
    <xf numFmtId="0" fontId="15" fillId="0" borderId="4" pivotButton="0" quotePrefix="0" xfId="0"/>
    <xf numFmtId="0" fontId="10" fillId="9" borderId="4" pivotButton="0" quotePrefix="0" xfId="0"/>
    <xf numFmtId="0" fontId="10" fillId="9" borderId="4" applyAlignment="1" pivotButton="0" quotePrefix="0" xfId="0">
      <alignment horizontal="center" vertical="center"/>
    </xf>
    <xf numFmtId="0" fontId="14" fillId="9" borderId="4" applyAlignment="1" pivotButton="0" quotePrefix="0" xfId="0">
      <alignment horizontal="left" vertical="center" wrapText="1"/>
    </xf>
    <xf numFmtId="0" fontId="11" fillId="0" borderId="4" pivotButton="0" quotePrefix="0" xfId="0"/>
    <xf numFmtId="0" fontId="16" fillId="7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3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pivotButton="0" quotePrefix="0" xfId="0"/>
    <xf numFmtId="0" fontId="0" fillId="0" borderId="3" pivotButton="0" quotePrefix="0" xfId="0"/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zoomScale="130" zoomScaleNormal="130" workbookViewId="0">
      <selection activeCell="A8" sqref="A8"/>
    </sheetView>
  </sheetViews>
  <sheetFormatPr baseColWidth="8" defaultColWidth="14.42578125" defaultRowHeight="15" customHeight="1"/>
  <cols>
    <col width="110" customWidth="1" style="31" min="1" max="1"/>
    <col width="8.7109375" customWidth="1" style="31" min="2" max="26"/>
  </cols>
  <sheetData>
    <row r="1" ht="20.25" customHeight="1" s="31">
      <c r="A1" s="1" t="inlineStr">
        <is>
          <t>GNC Intern Evaluation Matrix</t>
        </is>
      </c>
    </row>
    <row r="2">
      <c r="A2" s="2" t="n"/>
    </row>
    <row r="3" ht="15.75" customHeight="1" s="31">
      <c r="A3" s="3" t="inlineStr">
        <is>
          <t>Purpose</t>
        </is>
      </c>
    </row>
    <row r="4">
      <c r="A4" s="2" t="inlineStr">
        <is>
          <t>Rank ~30 GNC intern candidates by weighted fit score across 13 criteria.</t>
        </is>
      </c>
    </row>
    <row r="5">
      <c r="A5" s="2" t="n"/>
    </row>
    <row r="6" ht="15.75" customHeight="1" s="31">
      <c r="A6" s="3" t="inlineStr">
        <is>
          <t>How to use</t>
        </is>
      </c>
    </row>
    <row r="7">
      <c r="A7" s="2" t="inlineStr">
        <is>
          <t>1. Open the 'Scoring' sheet — enter one candidate per row.</t>
        </is>
      </c>
    </row>
    <row r="8">
      <c r="A8" s="2" t="inlineStr">
        <is>
          <t>2. YELLOW cells = your inputs.  GREEN cells = auto-computed.</t>
        </is>
      </c>
    </row>
    <row r="9">
      <c r="A9" s="2" t="inlineStr">
        <is>
          <t>3. Score most criteria on a 1–5 scale. See 'Rubric' sheet for what each score means.</t>
        </is>
      </c>
    </row>
    <row r="10">
      <c r="A10" s="2" t="inlineStr">
        <is>
          <t>4. University name auto-maps to a tier via 'Uni_Tiers' (edit that sheet to add/move unis).</t>
        </is>
      </c>
    </row>
    <row r="11">
      <c r="A11" s="2" t="inlineStr">
        <is>
          <t>5. Department auto-maps to fit score via 'Dept_Fit' (editable).</t>
        </is>
      </c>
    </row>
    <row r="12">
      <c r="A12" s="2" t="inlineStr">
        <is>
          <t>6. GPA, academic status, Teknofest level all auto-convert to 1–5 scores.</t>
        </is>
      </c>
    </row>
    <row r="13">
      <c r="A13" s="2" t="inlineStr">
        <is>
          <t>7. Tech interview = average of 5 subscores (Controls, Math, Coding, Debugging, Communication).</t>
        </is>
      </c>
    </row>
    <row r="14">
      <c r="A14" s="2" t="inlineStr">
        <is>
          <t>8. Set 'Disqualified?' = Y to exclude a candidate from ranking (score still shown).</t>
        </is>
      </c>
    </row>
    <row r="15">
      <c r="A15" s="2" t="inlineStr">
        <is>
          <t>9. Final weighted score appears in column AB. Ranking auto-sorts in 'Ranking' sheet.</t>
        </is>
      </c>
    </row>
    <row r="16">
      <c r="A16" s="2" t="n"/>
    </row>
    <row r="17" ht="15.75" customHeight="1" s="31">
      <c r="A17" s="3" t="inlineStr">
        <is>
          <t>Tuning the model</t>
        </is>
      </c>
    </row>
    <row r="18">
      <c r="A18" s="2" t="inlineStr">
        <is>
          <t>• Weights are on the 'Weights' sheet — change any value, all scores recalculate.</t>
        </is>
      </c>
    </row>
    <row r="19">
      <c r="A19" s="2" t="inlineStr">
        <is>
          <t>• Weights must sum to 100 (cell B16 shows the running total; turns red if ≠ 100).</t>
        </is>
      </c>
    </row>
    <row r="20">
      <c r="A20" s="2" t="inlineStr">
        <is>
          <t>• To change rubric anchors, edit the 'Rubric' sheet — these are reference only.</t>
        </is>
      </c>
    </row>
    <row r="21" ht="15.75" customHeight="1" s="31">
      <c r="A21" s="2" t="n"/>
    </row>
    <row r="22" ht="15.75" customHeight="1" s="31">
      <c r="A22" s="3" t="inlineStr">
        <is>
          <t>Scoring scale</t>
        </is>
      </c>
    </row>
    <row r="23" ht="15.75" customHeight="1" s="31">
      <c r="A23" s="2" t="inlineStr">
        <is>
          <t>5 = Excellent / strong fit    4 = Good    3 = Acceptable    2 = Weak    1 = Poor / none</t>
        </is>
      </c>
    </row>
    <row r="24" ht="15.75" customHeight="1" s="31">
      <c r="A24" s="2" t="n"/>
    </row>
    <row r="25" ht="15.75" customHeight="1" s="31">
      <c r="A25" s="3" t="inlineStr">
        <is>
          <t>Final score range</t>
        </is>
      </c>
    </row>
    <row r="26" ht="15.75" customHeight="1" s="31">
      <c r="A26" s="2" t="inlineStr">
        <is>
          <t>20 (all 1s) to 100 (all 5s). A candidate scoring 75+ is generally a strong hire.</t>
        </is>
      </c>
    </row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baseColWidth="8" defaultColWidth="14.42578125" defaultRowHeight="15" customHeight="1"/>
  <cols>
    <col width="5" customWidth="1" style="31" min="1" max="1"/>
    <col width="17.85546875" customWidth="1" style="31" min="2" max="2"/>
    <col width="24" customWidth="1" style="31" min="3" max="3"/>
    <col width="26" customWidth="1" style="31" min="4" max="4"/>
    <col width="22" customWidth="1" style="31" min="5" max="5"/>
    <col width="10" customWidth="1" style="31" min="6" max="6"/>
    <col width="22" customWidth="1" style="31" min="7" max="7"/>
    <col width="12" customWidth="1" style="31" min="8" max="8"/>
    <col width="11" customWidth="1" style="31" min="9" max="9"/>
    <col width="12" customWidth="1" style="31" min="10" max="10"/>
    <col width="10" customWidth="1" style="31" min="11" max="11"/>
    <col width="11" customWidth="1" style="31" min="12" max="13"/>
    <col width="12" customWidth="1" style="31" min="14" max="14"/>
    <col width="11" customWidth="1" style="31" min="15" max="16"/>
    <col width="10" customWidth="1" style="31" min="17" max="17"/>
    <col width="11" customWidth="1" style="31" min="18" max="18"/>
    <col width="13" customWidth="1" style="31" min="19" max="19"/>
    <col width="12" customWidth="1" style="31" min="20" max="20"/>
    <col width="14" customWidth="1" style="31" min="21" max="21"/>
    <col width="8" customWidth="1" style="31" min="22" max="22"/>
    <col width="30" customWidth="1" style="31" min="23" max="23"/>
    <col width="13" customWidth="1" style="31" min="24" max="30"/>
  </cols>
  <sheetData>
    <row r="1" ht="21.75" customHeight="1" s="31">
      <c r="A1" s="23" t="inlineStr">
        <is>
          <t>Identity</t>
        </is>
      </c>
      <c r="B1" s="32" t="n"/>
      <c r="C1" s="25" t="inlineStr">
        <is>
          <t>Background (auto)</t>
        </is>
      </c>
      <c r="D1" s="32" t="n"/>
      <c r="E1" s="32" t="n"/>
      <c r="F1" s="32" t="n"/>
      <c r="G1" s="32" t="n"/>
      <c r="H1" s="27" t="inlineStr">
        <is>
          <t>Experience (1-5)</t>
        </is>
      </c>
      <c r="I1" s="32" t="n"/>
      <c r="J1" s="32" t="n"/>
      <c r="K1" s="32" t="n"/>
      <c r="L1" s="32" t="n"/>
      <c r="M1" s="32" t="n"/>
      <c r="N1" s="32" t="n"/>
      <c r="O1" s="28" t="inlineStr">
        <is>
          <t>Tech Interview (1-5)</t>
        </is>
      </c>
      <c r="P1" s="32" t="n"/>
      <c r="Q1" s="32" t="n"/>
      <c r="R1" s="32" t="n"/>
      <c r="S1" s="32" t="n"/>
      <c r="T1" s="29" t="inlineStr">
        <is>
          <t>Result</t>
        </is>
      </c>
      <c r="U1" s="32" t="n"/>
      <c r="V1" s="32" t="n"/>
      <c r="W1" s="32" t="n"/>
      <c r="X1" s="27" t="inlineStr">
        <is>
          <t>Auto-Computed Component Scores</t>
        </is>
      </c>
      <c r="Y1" s="32" t="n"/>
      <c r="Z1" s="32" t="n"/>
      <c r="AA1" s="32" t="n"/>
      <c r="AB1" s="32" t="n"/>
      <c r="AC1" s="32" t="n"/>
      <c r="AD1" s="32" t="n"/>
    </row>
    <row r="2" ht="42" customHeight="1" s="31">
      <c r="A2" s="4" t="inlineStr">
        <is>
          <t>#</t>
        </is>
      </c>
      <c r="B2" s="4" t="inlineStr">
        <is>
          <t>Name</t>
        </is>
      </c>
      <c r="C2" s="4" t="inlineStr">
        <is>
          <t>University</t>
        </is>
      </c>
      <c r="D2" s="4" t="inlineStr">
        <is>
          <t>Department</t>
        </is>
      </c>
      <c r="E2" s="4" t="inlineStr">
        <is>
          <t>Academic Status</t>
        </is>
      </c>
      <c r="F2" s="4" t="inlineStr">
        <is>
          <t>GPA (0-4)</t>
        </is>
      </c>
      <c r="G2" s="4" t="inlineStr">
        <is>
          <t>Teknofest</t>
        </is>
      </c>
      <c r="H2" s="4" t="inlineStr">
        <is>
          <t>Real Project (1-5)</t>
        </is>
      </c>
      <c r="I2" s="4" t="inlineStr">
        <is>
          <t>Portfolio (1-5)</t>
        </is>
      </c>
      <c r="J2" s="4" t="inlineStr">
        <is>
          <t>Coursework (1-5)</t>
        </is>
      </c>
      <c r="K2" s="4" t="inlineStr">
        <is>
          <t>Tools (1-5)</t>
        </is>
      </c>
      <c r="L2" s="4" t="inlineStr">
        <is>
          <t>RC/UAV (1-5)</t>
        </is>
      </c>
      <c r="M2" s="4" t="inlineStr">
        <is>
          <t>English (1-5)</t>
        </is>
      </c>
      <c r="N2" s="4" t="inlineStr">
        <is>
          <t>HR Feedback (1-5)</t>
        </is>
      </c>
      <c r="O2" s="4" t="inlineStr">
        <is>
          <t>Controls/GNC</t>
        </is>
      </c>
      <c r="P2" s="4" t="inlineStr">
        <is>
          <t>Math/Physics</t>
        </is>
      </c>
      <c r="Q2" s="4" t="inlineStr">
        <is>
          <t>Coding</t>
        </is>
      </c>
      <c r="R2" s="4" t="inlineStr">
        <is>
          <t>Debugging</t>
        </is>
      </c>
      <c r="S2" s="4" t="inlineStr">
        <is>
          <t>Communication</t>
        </is>
      </c>
      <c r="T2" s="4" t="inlineStr">
        <is>
          <t>Disqualified?</t>
        </is>
      </c>
      <c r="U2" s="4" t="inlineStr">
        <is>
          <t>Weighted Score</t>
        </is>
      </c>
      <c r="V2" s="4" t="inlineStr">
        <is>
          <t>Rank</t>
        </is>
      </c>
      <c r="W2" s="4" t="inlineStr">
        <is>
          <t>Notes</t>
        </is>
      </c>
      <c r="X2" s="4" t="inlineStr">
        <is>
          <t>UniTier Score</t>
        </is>
      </c>
      <c r="Y2" s="4" t="inlineStr">
        <is>
          <t>Dept Score</t>
        </is>
      </c>
      <c r="Z2" s="4" t="inlineStr">
        <is>
          <t>GPA Score</t>
        </is>
      </c>
      <c r="AA2" s="4" t="inlineStr">
        <is>
          <t>Status Score</t>
        </is>
      </c>
      <c r="AB2" s="4" t="inlineStr">
        <is>
          <t>Teknofest Score</t>
        </is>
      </c>
      <c r="AC2" s="4" t="inlineStr">
        <is>
          <t>Tech Composite</t>
        </is>
      </c>
      <c r="AD2" s="4" t="inlineStr">
        <is>
          <t>DQ Row Pos</t>
        </is>
      </c>
    </row>
    <row r="3">
      <c r="A3" s="5" t="n">
        <v>1</v>
      </c>
      <c r="B3" s="6" t="inlineStr">
        <is>
          <t>Abdellah Bougataya</t>
        </is>
      </c>
      <c r="C3" s="6" t="inlineStr">
        <is>
          <t>Yıldız Teknik</t>
        </is>
      </c>
      <c r="D3" s="6" t="inlineStr">
        <is>
          <t>Control Engineering</t>
        </is>
      </c>
      <c r="E3" s="7" t="inlineStr">
        <is>
          <t>3rd year</t>
        </is>
      </c>
      <c r="F3" s="7" t="n">
        <v>3.34</v>
      </c>
      <c r="G3" s="7" t="inlineStr">
        <is>
          <t>None</t>
        </is>
      </c>
      <c r="H3" s="7" t="n">
        <v>4</v>
      </c>
      <c r="I3" s="7" t="n">
        <v>2</v>
      </c>
      <c r="J3" s="7" t="n">
        <v>4</v>
      </c>
      <c r="K3" s="7" t="n">
        <v>5</v>
      </c>
      <c r="L3" s="7" t="n">
        <v>3</v>
      </c>
      <c r="M3" s="7" t="n">
        <v>5</v>
      </c>
      <c r="N3" s="7" t="n"/>
      <c r="O3" s="7" t="n"/>
      <c r="P3" s="7" t="n"/>
      <c r="Q3" s="7" t="n"/>
      <c r="R3" s="7" t="n"/>
      <c r="S3" s="7" t="n"/>
      <c r="T3" s="7" t="inlineStr">
        <is>
          <t>N</t>
        </is>
      </c>
      <c r="U3" s="8">
        <f>IF(B3="","",(X3*Weights!$B$2+Y3*Weights!$B$3+Z3*Weights!$B$4+AA3*Weights!$B$5+AB3*Weights!$B$6+H3*Weights!$B$7+I3*Weights!$B$8+J3*Weights!$B$9+K3*Weights!$B$10+L3*Weights!$B$11+M3*Weights!$B$12+N3*Weights!$B$13+AC3*Weights!$B$14)/5)</f>
        <v/>
      </c>
      <c r="V3" s="9">
        <f>IF(OR(B3="",T3="Y"),"",1+SUMPRODUCT(((U$3:U$32&gt;U3)+((U$3:U$32=U3)*(ROW(U$3:U$32)&lt;3)))*(T$3:T$32&lt;&gt;"Y")*(B$3:B$32&lt;&gt;"")))</f>
        <v/>
      </c>
      <c r="W3" s="6" t="inlineStr">
        <is>
          <t>Strong all-round; ArduPilot SITL + Gazebo + bare-metal firmware; AVIONX team (custom FC). No Teknofest involvement stated.</t>
        </is>
      </c>
      <c r="X3" s="10">
        <f>IFERROR(VLOOKUP(VLOOKUP(C3,Uni_Tiers!$A$2:$B$24,2,FALSE()),Uni_Tiers!$E$2:$F$6,2,FALSE()),IF(C3="",1,2))</f>
        <v/>
      </c>
      <c r="Y3" s="10">
        <f>IFERROR(VLOOKUP(D3,Dept_Fit!$A$2:$B$15,2,FALSE()),1)</f>
        <v/>
      </c>
      <c r="Z3" s="10">
        <f>IF(F3="",1,IF(F3&gt;=3.5,5,IF(F3&gt;=3,4,IF(F3&gt;=2.5,3,IF(F3&gt;=2,2,1)))))</f>
        <v/>
      </c>
      <c r="AA3" s="10">
        <f>IFERROR(VLOOKUP(E3,Status_Map!$A$2:$B$9,2,FALSE()),1)</f>
        <v/>
      </c>
      <c r="AB3" s="10">
        <f>IFERROR(VLOOKUP(G3,Teknofest_Map!$A$2:$B$6,2,FALSE()),1)</f>
        <v/>
      </c>
      <c r="AC3" s="10">
        <f>IFERROR(AVERAGE(O3,P3,Q3,R3,S3),0)</f>
        <v/>
      </c>
      <c r="AD3" s="10">
        <f>IF(T3="Y",ROW()-2,"")</f>
        <v/>
      </c>
    </row>
    <row r="4" ht="25.5" customHeight="1" s="31">
      <c r="A4" s="5" t="n">
        <v>2</v>
      </c>
      <c r="B4" s="6" t="inlineStr">
        <is>
          <t>Abdurakhmon Sobitkhanov</t>
        </is>
      </c>
      <c r="C4" s="6" t="inlineStr">
        <is>
          <t>Yıldız Teknik</t>
        </is>
      </c>
      <c r="D4" s="6" t="inlineStr">
        <is>
          <t>Control Engineering</t>
        </is>
      </c>
      <c r="E4" s="7" t="inlineStr">
        <is>
          <t>3rd year</t>
        </is>
      </c>
      <c r="F4" s="7" t="n">
        <v>3.53</v>
      </c>
      <c r="G4" s="7" t="inlineStr">
        <is>
          <t>None</t>
        </is>
      </c>
      <c r="H4" s="7" t="n">
        <v>4</v>
      </c>
      <c r="I4" s="7" t="n">
        <v>2</v>
      </c>
      <c r="J4" s="7" t="n">
        <v>2</v>
      </c>
      <c r="K4" s="7" t="n">
        <v>4</v>
      </c>
      <c r="L4" s="7" t="n">
        <v>4</v>
      </c>
      <c r="M4" s="7" t="n">
        <v>3</v>
      </c>
      <c r="N4" s="7" t="n"/>
      <c r="O4" s="7" t="n"/>
      <c r="P4" s="7" t="n"/>
      <c r="Q4" s="7" t="n"/>
      <c r="R4" s="7" t="n"/>
      <c r="S4" s="7" t="n"/>
      <c r="T4" s="7" t="inlineStr">
        <is>
          <t>N</t>
        </is>
      </c>
      <c r="U4" s="8">
        <f>IF(B4="","",(X4*Weights!$B$2+Y4*Weights!$B$3+Z4*Weights!$B$4+AA4*Weights!$B$5+AB4*Weights!$B$6+H4*Weights!$B$7+I4*Weights!$B$8+J4*Weights!$B$9+K4*Weights!$B$10+L4*Weights!$B$11+M4*Weights!$B$12+N4*Weights!$B$13+AC4*Weights!$B$14)/5)</f>
        <v/>
      </c>
      <c r="V4" s="9">
        <f>IF(OR(B4="",T4="Y"),"",1+SUMPRODUCT(((U$3:U$32&gt;U4)+((U$3:U$32=U4)*(ROW(U$3:U$32)&lt;4)))*(T$3:T$32&lt;&gt;"Y")*(B$3:B$32&lt;&gt;"")))</f>
        <v/>
      </c>
      <c r="W4" s="6" t="inlineStr">
        <is>
          <t>YTU Kontrol ve Otomasyon Müh, AGNO 3.53. Inner-loop PID + IMU; Simulink modeling.</t>
        </is>
      </c>
      <c r="X4" s="10">
        <f>IFERROR(VLOOKUP(VLOOKUP(C4,Uni_Tiers!$A$2:$B$24,2,FALSE()),Uni_Tiers!$E$2:$F$6,2,FALSE()),IF(C4="",1,2))</f>
        <v/>
      </c>
      <c r="Y4" s="10">
        <f>IFERROR(VLOOKUP(D4,Dept_Fit!$A$2:$B$15,2,FALSE()),1)</f>
        <v/>
      </c>
      <c r="Z4" s="10">
        <f>IF(F4="",1,IF(F4&gt;=3.5,5,IF(F4&gt;=3,4,IF(F4&gt;=2.5,3,IF(F4&gt;=2,2,1)))))</f>
        <v/>
      </c>
      <c r="AA4" s="10">
        <f>IFERROR(VLOOKUP(E4,Status_Map!$A$2:$B$9,2,FALSE()),1)</f>
        <v/>
      </c>
      <c r="AB4" s="10">
        <f>IFERROR(VLOOKUP(G4,Teknofest_Map!$A$2:$B$6,2,FALSE()),1)</f>
        <v/>
      </c>
      <c r="AC4" s="10">
        <f>IFERROR(AVERAGE(O4,P4,Q4,R4,S4),0)</f>
        <v/>
      </c>
      <c r="AD4" s="10">
        <f>IF(T4="Y",ROW()-2,"")</f>
        <v/>
      </c>
    </row>
    <row r="5" ht="25.5" customHeight="1" s="31">
      <c r="A5" s="5" t="n">
        <v>3</v>
      </c>
      <c r="B5" s="6" t="inlineStr">
        <is>
          <t>Ahmet Buğra Kallat</t>
        </is>
      </c>
      <c r="C5" s="6" t="inlineStr">
        <is>
          <t>ITU</t>
        </is>
      </c>
      <c r="D5" s="6" t="inlineStr">
        <is>
          <t>Mechanical Engineering</t>
        </is>
      </c>
      <c r="E5" s="7" t="inlineStr">
        <is>
          <t>4th year</t>
        </is>
      </c>
      <c r="F5" s="7" t="n"/>
      <c r="G5" s="7" t="inlineStr">
        <is>
          <t>Podium / finals</t>
        </is>
      </c>
      <c r="H5" s="7" t="n">
        <v>4</v>
      </c>
      <c r="I5" s="7" t="n">
        <v>3</v>
      </c>
      <c r="J5" s="7" t="n">
        <v>4</v>
      </c>
      <c r="K5" s="7" t="n">
        <v>5</v>
      </c>
      <c r="L5" s="7" t="n">
        <v>4</v>
      </c>
      <c r="M5" s="7" t="n">
        <v>4</v>
      </c>
      <c r="N5" s="7" t="n"/>
      <c r="O5" s="7" t="n"/>
      <c r="P5" s="7" t="n"/>
      <c r="Q5" s="7" t="n"/>
      <c r="R5" s="7" t="n"/>
      <c r="S5" s="7" t="n"/>
      <c r="T5" s="7" t="inlineStr">
        <is>
          <t>N</t>
        </is>
      </c>
      <c r="U5" s="8">
        <f>IF(B5="","",(X5*Weights!$B$2+Y5*Weights!$B$3+Z5*Weights!$B$4+AA5*Weights!$B$5+AB5*Weights!$B$6+H5*Weights!$B$7+I5*Weights!$B$8+J5*Weights!$B$9+K5*Weights!$B$10+L5*Weights!$B$11+M5*Weights!$B$12+N5*Weights!$B$13+AC5*Weights!$B$14)/5)</f>
        <v/>
      </c>
      <c r="V5" s="9">
        <f>IF(OR(B5="",T5="Y"),"",1+SUMPRODUCT(((U$3:U$32&gt;U5)+((U$3:U$32=U5)*(ROW(U$3:U$32)&lt;5)))*(T$3:T$32&lt;&gt;"Y")*(B$3:B$32&lt;&gt;"")))</f>
        <v/>
      </c>
      <c r="W5" s="6" t="inlineStr">
        <is>
          <t>İTÜ Makine Müh; Teknofest Savaşan İHA 'En İyi Tasarım' + Serbest Görev İHA 3.lük; IMechE UAS Challenge finalist; avionics, autonomous systems, UAV design + control.</t>
        </is>
      </c>
      <c r="X5" s="10">
        <f>IFERROR(VLOOKUP(VLOOKUP(C5,Uni_Tiers!$A$2:$B$24,2,FALSE()),Uni_Tiers!$E$2:$F$6,2,FALSE()),IF(C5="",1,2))</f>
        <v/>
      </c>
      <c r="Y5" s="10">
        <f>IFERROR(VLOOKUP(D5,Dept_Fit!$A$2:$B$15,2,FALSE()),1)</f>
        <v/>
      </c>
      <c r="Z5" s="10">
        <f>IF(F5="",1,IF(F5&gt;=3.5,5,IF(F5&gt;=3,4,IF(F5&gt;=2.5,3,IF(F5&gt;=2,2,1)))))</f>
        <v/>
      </c>
      <c r="AA5" s="10">
        <f>IFERROR(VLOOKUP(E5,Status_Map!$A$2:$B$9,2,FALSE()),1)</f>
        <v/>
      </c>
      <c r="AB5" s="10">
        <f>IFERROR(VLOOKUP(G5,Teknofest_Map!$A$2:$B$6,2,FALSE()),1)</f>
        <v/>
      </c>
      <c r="AC5" s="10">
        <f>IFERROR(AVERAGE(O5,P5,Q5,R5,S5),0)</f>
        <v/>
      </c>
      <c r="AD5" s="10">
        <f>IF(T5="Y",ROW()-2,"")</f>
        <v/>
      </c>
    </row>
    <row r="6" ht="25.5" customHeight="1" s="31">
      <c r="A6" s="5" t="n">
        <v>4</v>
      </c>
      <c r="B6" s="6" t="inlineStr">
        <is>
          <t>Ali Assani</t>
        </is>
      </c>
      <c r="C6" s="6" t="inlineStr">
        <is>
          <t>Yıldız Teknik</t>
        </is>
      </c>
      <c r="D6" s="6" t="inlineStr">
        <is>
          <t>Control Engineering</t>
        </is>
      </c>
      <c r="E6" s="7" t="inlineStr">
        <is>
          <t>Fresh graduate (&lt;1 yr)</t>
        </is>
      </c>
      <c r="F6" s="7" t="n"/>
      <c r="G6" s="7" t="inlineStr">
        <is>
          <t>Applied only</t>
        </is>
      </c>
      <c r="H6" s="7" t="n">
        <v>5</v>
      </c>
      <c r="I6" s="7" t="n">
        <v>3</v>
      </c>
      <c r="J6" s="7" t="n">
        <v>5</v>
      </c>
      <c r="K6" s="7" t="n">
        <v>4</v>
      </c>
      <c r="L6" s="7" t="n">
        <v>5</v>
      </c>
      <c r="M6" s="7" t="n">
        <v>3</v>
      </c>
      <c r="N6" s="7" t="n"/>
      <c r="O6" s="7" t="n"/>
      <c r="P6" s="7" t="n"/>
      <c r="Q6" s="7" t="n"/>
      <c r="R6" s="7" t="n"/>
      <c r="S6" s="7" t="n"/>
      <c r="T6" s="7" t="inlineStr">
        <is>
          <t>N</t>
        </is>
      </c>
      <c r="U6" s="8">
        <f>IF(B6="","",(X6*Weights!$B$2+Y6*Weights!$B$3+Z6*Weights!$B$4+AA6*Weights!$B$5+AB6*Weights!$B$6+H6*Weights!$B$7+I6*Weights!$B$8+J6*Weights!$B$9+K6*Weights!$B$10+L6*Weights!$B$11+M6*Weights!$B$12+N6*Weights!$B$13+AC6*Weights!$B$14)/5)</f>
        <v/>
      </c>
      <c r="V6" s="9">
        <f>IF(OR(B6="",T6="Y"),"",1+SUMPRODUCT(((U$3:U$32&gt;U6)+((U$3:U$32=U6)*(ROW(U$3:U$32)&lt;6)))*(T$3:T$32&lt;&gt;"Y")*(B$3:B$32&lt;&gt;"")))</f>
        <v/>
      </c>
      <c r="W6" s="6" t="inlineStr">
        <is>
          <t>YTU Control &amp; Automation graduate; MATLAB Mini Drone Competition Stage 1; aircraft control + MATLAB/Simulink exposure.</t>
        </is>
      </c>
      <c r="X6" s="10">
        <f>IFERROR(VLOOKUP(VLOOKUP(C6,Uni_Tiers!$A$2:$B$24,2,FALSE()),Uni_Tiers!$E$2:$F$6,2,FALSE()),IF(C6="",1,2))</f>
        <v/>
      </c>
      <c r="Y6" s="10">
        <f>IFERROR(VLOOKUP(D6,Dept_Fit!$A$2:$B$15,2,FALSE()),1)</f>
        <v/>
      </c>
      <c r="Z6" s="10">
        <f>IF(F6="",1,IF(F6&gt;=3.5,5,IF(F6&gt;=3,4,IF(F6&gt;=2.5,3,IF(F6&gt;=2,2,1)))))</f>
        <v/>
      </c>
      <c r="AA6" s="10">
        <f>IFERROR(VLOOKUP(E6,Status_Map!$A$2:$B$9,2,FALSE()),1)</f>
        <v/>
      </c>
      <c r="AB6" s="10">
        <f>IFERROR(VLOOKUP(G6,Teknofest_Map!$A$2:$B$6,2,FALSE()),1)</f>
        <v/>
      </c>
      <c r="AC6" s="10">
        <f>IFERROR(AVERAGE(O6,P6,Q6,R6,S6),0)</f>
        <v/>
      </c>
      <c r="AD6" s="10">
        <f>IF(T6="Y",ROW()-2,"")</f>
        <v/>
      </c>
    </row>
    <row r="7" ht="38.25" customHeight="1" s="31">
      <c r="A7" s="5" t="n">
        <v>5</v>
      </c>
      <c r="B7" s="6" t="inlineStr">
        <is>
          <t>Barış Ağacık</t>
        </is>
      </c>
      <c r="C7" s="6" t="inlineStr">
        <is>
          <t>Yıldız Teknik</t>
        </is>
      </c>
      <c r="D7" s="6" t="inlineStr">
        <is>
          <t>Control Engineering</t>
        </is>
      </c>
      <c r="E7" s="7" t="inlineStr">
        <is>
          <t>4th year</t>
        </is>
      </c>
      <c r="F7" s="7" t="n">
        <v>3.03</v>
      </c>
      <c r="G7" s="7" t="inlineStr">
        <is>
          <t>None</t>
        </is>
      </c>
      <c r="H7" s="7" t="n">
        <v>5</v>
      </c>
      <c r="I7" s="7" t="n">
        <v>2</v>
      </c>
      <c r="J7" s="7" t="n">
        <v>4</v>
      </c>
      <c r="K7" s="7" t="n">
        <v>5</v>
      </c>
      <c r="L7" s="7" t="n">
        <v>2</v>
      </c>
      <c r="M7" s="7" t="n">
        <v>4</v>
      </c>
      <c r="N7" s="7" t="n"/>
      <c r="O7" s="7" t="n"/>
      <c r="P7" s="7" t="n"/>
      <c r="Q7" s="7" t="n"/>
      <c r="R7" s="7" t="n"/>
      <c r="S7" s="7" t="n"/>
      <c r="T7" s="7" t="inlineStr">
        <is>
          <t>N</t>
        </is>
      </c>
      <c r="U7" s="8">
        <f>IF(B7="","",(X7*Weights!$B$2+Y7*Weights!$B$3+Z7*Weights!$B$4+AA7*Weights!$B$5+AB7*Weights!$B$6+H7*Weights!$B$7+I7*Weights!$B$8+J7*Weights!$B$9+K7*Weights!$B$10+L7*Weights!$B$11+M7*Weights!$B$12+N7*Weights!$B$13+AC7*Weights!$B$14)/5)</f>
        <v/>
      </c>
      <c r="V7" s="9">
        <f>IF(OR(B7="",T7="Y"),"",1+SUMPRODUCT(((U$3:U$32&gt;U7)+((U$3:U$32=U7)*(ROW(U$3:U$32)&lt;7)))*(T$3:T$32&lt;&gt;"Y")*(B$3:B$32&lt;&gt;"")))</f>
        <v/>
      </c>
      <c r="W7" s="6" t="inlineStr">
        <is>
          <t>YTU Kontrol ve Otomasyon Müh (Lisans) 2022-2026, AGNO 3.03. MSC Nastran/Patran (software, not MSc).</t>
        </is>
      </c>
      <c r="X7" s="10">
        <f>IFERROR(VLOOKUP(VLOOKUP(C7,Uni_Tiers!$A$2:$B$24,2,FALSE()),Uni_Tiers!$E$2:$F$6,2,FALSE()),IF(C7="",1,2))</f>
        <v/>
      </c>
      <c r="Y7" s="10">
        <f>IFERROR(VLOOKUP(D7,Dept_Fit!$A$2:$B$15,2,FALSE()),1)</f>
        <v/>
      </c>
      <c r="Z7" s="10">
        <f>IF(F7="",1,IF(F7&gt;=3.5,5,IF(F7&gt;=3,4,IF(F7&gt;=2.5,3,IF(F7&gt;=2,2,1)))))</f>
        <v/>
      </c>
      <c r="AA7" s="10">
        <f>IFERROR(VLOOKUP(E7,Status_Map!$A$2:$B$9,2,FALSE()),1)</f>
        <v/>
      </c>
      <c r="AB7" s="10">
        <f>IFERROR(VLOOKUP(G7,Teknofest_Map!$A$2:$B$6,2,FALSE()),1)</f>
        <v/>
      </c>
      <c r="AC7" s="10">
        <f>IFERROR(AVERAGE(O7,P7,Q7,R7,S7),0)</f>
        <v/>
      </c>
      <c r="AD7" s="10">
        <f>IF(T7="Y",ROW()-2,"")</f>
        <v/>
      </c>
    </row>
    <row r="8" ht="25.5" customHeight="1" s="31">
      <c r="A8" s="5" t="n">
        <v>6</v>
      </c>
      <c r="B8" s="6" t="inlineStr">
        <is>
          <t>Emirhan Oskay</t>
        </is>
      </c>
      <c r="C8" s="6" t="inlineStr">
        <is>
          <t>Yıldız Teknik</t>
        </is>
      </c>
      <c r="D8" s="6" t="inlineStr">
        <is>
          <t>Control Engineering</t>
        </is>
      </c>
      <c r="E8" s="7" t="inlineStr">
        <is>
          <t>MSc student</t>
        </is>
      </c>
      <c r="F8" s="7" t="n">
        <v>3.56</v>
      </c>
      <c r="G8" s="7" t="inlineStr">
        <is>
          <t>None</t>
        </is>
      </c>
      <c r="H8" s="7" t="n">
        <v>4</v>
      </c>
      <c r="I8" s="7" t="n">
        <v>2</v>
      </c>
      <c r="J8" s="7" t="n">
        <v>4</v>
      </c>
      <c r="K8" s="7" t="n">
        <v>5</v>
      </c>
      <c r="L8" s="7" t="n">
        <v>1</v>
      </c>
      <c r="M8" s="7" t="n">
        <v>3</v>
      </c>
      <c r="N8" s="7" t="n"/>
      <c r="O8" s="7" t="n"/>
      <c r="P8" s="7" t="n"/>
      <c r="Q8" s="7" t="n"/>
      <c r="R8" s="7" t="n"/>
      <c r="S8" s="7" t="n"/>
      <c r="T8" s="7" t="inlineStr">
        <is>
          <t>N</t>
        </is>
      </c>
      <c r="U8" s="8">
        <f>IF(B8="","",(X8*Weights!$B$2+Y8*Weights!$B$3+Z8*Weights!$B$4+AA8*Weights!$B$5+AB8*Weights!$B$6+H8*Weights!$B$7+I8*Weights!$B$8+J8*Weights!$B$9+K8*Weights!$B$10+L8*Weights!$B$11+M8*Weights!$B$12+N8*Weights!$B$13+AC8*Weights!$B$14)/5)</f>
        <v/>
      </c>
      <c r="V8" s="9">
        <f>IF(OR(B8="",T8="Y"),"",1+SUMPRODUCT(((U$3:U$32&gt;U8)+((U$3:U$32=U8)*(ROW(U$3:U$32)&lt;8)))*(T$3:T$32&lt;&gt;"Y")*(B$3:B$32&lt;&gt;"")))</f>
        <v/>
      </c>
      <c r="W8" s="6" t="inlineStr">
        <is>
          <t>YTU. CV shows BSc AGNO 3.41 + ongoing MSc AGNO 3.56. 'Aday Mühendis' role at YTU; advisor at ITU.</t>
        </is>
      </c>
      <c r="X8" s="10">
        <f>IFERROR(VLOOKUP(VLOOKUP(C8,Uni_Tiers!$A$2:$B$24,2,FALSE()),Uni_Tiers!$E$2:$F$6,2,FALSE()),IF(C8="",1,2))</f>
        <v/>
      </c>
      <c r="Y8" s="10">
        <f>IFERROR(VLOOKUP(D8,Dept_Fit!$A$2:$B$15,2,FALSE()),1)</f>
        <v/>
      </c>
      <c r="Z8" s="10">
        <f>IF(F8="",1,IF(F8&gt;=3.5,5,IF(F8&gt;=3,4,IF(F8&gt;=2.5,3,IF(F8&gt;=2,2,1)))))</f>
        <v/>
      </c>
      <c r="AA8" s="10">
        <f>IFERROR(VLOOKUP(E8,Status_Map!$A$2:$B$9,2,FALSE()),1)</f>
        <v/>
      </c>
      <c r="AB8" s="10">
        <f>IFERROR(VLOOKUP(G8,Teknofest_Map!$A$2:$B$6,2,FALSE()),1)</f>
        <v/>
      </c>
      <c r="AC8" s="10">
        <f>IFERROR(AVERAGE(O8,P8,Q8,R8,S8),0)</f>
        <v/>
      </c>
      <c r="AD8" s="10">
        <f>IF(T8="Y",ROW()-2,"")</f>
        <v/>
      </c>
    </row>
    <row r="9" ht="25.5" customHeight="1" s="31">
      <c r="A9" s="5" t="n">
        <v>7</v>
      </c>
      <c r="B9" s="6" t="inlineStr">
        <is>
          <t>Enes Göktuğ Güneş</t>
        </is>
      </c>
      <c r="C9" s="6" t="inlineStr">
        <is>
          <t>Other</t>
        </is>
      </c>
      <c r="D9" s="6" t="inlineStr">
        <is>
          <t>Software Engineering</t>
        </is>
      </c>
      <c r="E9" s="7" t="inlineStr">
        <is>
          <t>3rd year</t>
        </is>
      </c>
      <c r="F9" s="7" t="n"/>
      <c r="G9" s="7" t="inlineStr">
        <is>
          <t>None</t>
        </is>
      </c>
      <c r="H9" s="7" t="n">
        <v>4</v>
      </c>
      <c r="I9" s="7" t="n">
        <v>4</v>
      </c>
      <c r="J9" s="7" t="n">
        <v>1</v>
      </c>
      <c r="K9" s="7" t="n">
        <v>3</v>
      </c>
      <c r="L9" s="7" t="n">
        <v>4</v>
      </c>
      <c r="M9" s="7" t="n">
        <v>3</v>
      </c>
      <c r="N9" s="7" t="n"/>
      <c r="O9" s="7" t="n"/>
      <c r="P9" s="7" t="n"/>
      <c r="Q9" s="7" t="n"/>
      <c r="R9" s="7" t="n"/>
      <c r="S9" s="7" t="n"/>
      <c r="T9" s="7" t="inlineStr">
        <is>
          <t>N</t>
        </is>
      </c>
      <c r="U9" s="8">
        <f>IF(B9="","",(X9*Weights!$B$2+Y9*Weights!$B$3+Z9*Weights!$B$4+AA9*Weights!$B$5+AB9*Weights!$B$6+H9*Weights!$B$7+I9*Weights!$B$8+J9*Weights!$B$9+K9*Weights!$B$10+L9*Weights!$B$11+M9*Weights!$B$12+N9*Weights!$B$13+AC9*Weights!$B$14)/5)</f>
        <v/>
      </c>
      <c r="V9" s="9">
        <f>IF(OR(B9="",T9="Y"),"",1+SUMPRODUCT(((U$3:U$32&gt;U9)+((U$3:U$32=U9)*(ROW(U$3:U$32)&lt;9)))*(T$3:T$32&lt;&gt;"Y")*(B$3:B$32&lt;&gt;"")))</f>
        <v/>
      </c>
      <c r="W9" s="6" t="inlineStr">
        <is>
          <t>Fatih Sultan Mehmet Foundation U, Software Eng, 3rd year.</t>
        </is>
      </c>
      <c r="X9" s="10">
        <f>IFERROR(VLOOKUP(VLOOKUP(C9,Uni_Tiers!$A$2:$B$24,2,FALSE()),Uni_Tiers!$E$2:$F$6,2,FALSE()),IF(C9="",1,2))</f>
        <v/>
      </c>
      <c r="Y9" s="10">
        <f>IFERROR(VLOOKUP(D9,Dept_Fit!$A$2:$B$15,2,FALSE()),1)</f>
        <v/>
      </c>
      <c r="Z9" s="10">
        <f>IF(F9="",1,IF(F9&gt;=3.5,5,IF(F9&gt;=3,4,IF(F9&gt;=2.5,3,IF(F9&gt;=2,2,1)))))</f>
        <v/>
      </c>
      <c r="AA9" s="10">
        <f>IFERROR(VLOOKUP(E9,Status_Map!$A$2:$B$9,2,FALSE()),1)</f>
        <v/>
      </c>
      <c r="AB9" s="10">
        <f>IFERROR(VLOOKUP(G9,Teknofest_Map!$A$2:$B$6,2,FALSE()),1)</f>
        <v/>
      </c>
      <c r="AC9" s="10">
        <f>IFERROR(AVERAGE(O9,P9,Q9,R9,S9),0)</f>
        <v/>
      </c>
      <c r="AD9" s="10">
        <f>IF(T9="Y",ROW()-2,"")</f>
        <v/>
      </c>
    </row>
    <row r="10" ht="25.5" customHeight="1" s="31">
      <c r="A10" s="5" t="n">
        <v>8</v>
      </c>
      <c r="B10" s="6" t="inlineStr">
        <is>
          <t>Gonca Sude Şahbaz</t>
        </is>
      </c>
      <c r="C10" s="6" t="inlineStr">
        <is>
          <t>Eskişehir Osmangazi</t>
        </is>
      </c>
      <c r="D10" s="6" t="inlineStr">
        <is>
          <t>Electrical &amp; Electronics Engineering</t>
        </is>
      </c>
      <c r="E10" s="7" t="inlineStr">
        <is>
          <t>MSc student</t>
        </is>
      </c>
      <c r="F10" s="7" t="n">
        <v>2.99</v>
      </c>
      <c r="G10" s="7" t="inlineStr">
        <is>
          <t>Participated multiple times</t>
        </is>
      </c>
      <c r="H10" s="7" t="n">
        <v>2</v>
      </c>
      <c r="I10" s="7" t="n">
        <v>4</v>
      </c>
      <c r="J10" s="7" t="n">
        <v>1</v>
      </c>
      <c r="K10" s="7" t="n">
        <v>4</v>
      </c>
      <c r="L10" s="7" t="n">
        <v>1</v>
      </c>
      <c r="M10" s="7" t="n">
        <v>4</v>
      </c>
      <c r="N10" s="7" t="n"/>
      <c r="O10" s="7" t="n"/>
      <c r="P10" s="7" t="n"/>
      <c r="Q10" s="7" t="n"/>
      <c r="R10" s="7" t="n"/>
      <c r="S10" s="7" t="n"/>
      <c r="T10" s="7" t="inlineStr">
        <is>
          <t>N</t>
        </is>
      </c>
      <c r="U10" s="8">
        <f>IF(B10="","",(X10*Weights!$B$2+Y10*Weights!$B$3+Z10*Weights!$B$4+AA10*Weights!$B$5+AB10*Weights!$B$6+H10*Weights!$B$7+I10*Weights!$B$8+J10*Weights!$B$9+K10*Weights!$B$10+L10*Weights!$B$11+M10*Weights!$B$12+N10*Weights!$B$13+AC10*Weights!$B$14)/5)</f>
        <v/>
      </c>
      <c r="V10" s="9">
        <f>IF(OR(B10="",T10="Y"),"",1+SUMPRODUCT(((U$3:U$32&gt;U10)+((U$3:U$32=U10)*(ROW(U$3:U$32)&lt;10)))*(T$3:T$32&lt;&gt;"Y")*(B$3:B$32&lt;&gt;"")))</f>
        <v/>
      </c>
      <c r="W10" s="6" t="inlineStr">
        <is>
          <t>BSc EEE Eskişehir Osmangazi 2021-2025 (GPA 2.99), now pursuing Yüksek Lisans. Multiple Teknofest events.</t>
        </is>
      </c>
      <c r="X10" s="10">
        <f>IFERROR(VLOOKUP(VLOOKUP(C10,Uni_Tiers!$A$2:$B$24,2,FALSE()),Uni_Tiers!$E$2:$F$6,2,FALSE()),IF(C10="",1,2))</f>
        <v/>
      </c>
      <c r="Y10" s="10">
        <f>IFERROR(VLOOKUP(D10,Dept_Fit!$A$2:$B$15,2,FALSE()),1)</f>
        <v/>
      </c>
      <c r="Z10" s="10">
        <f>IF(F10="",1,IF(F10&gt;=3.5,5,IF(F10&gt;=3,4,IF(F10&gt;=2.5,3,IF(F10&gt;=2,2,1)))))</f>
        <v/>
      </c>
      <c r="AA10" s="10">
        <f>IFERROR(VLOOKUP(E10,Status_Map!$A$2:$B$9,2,FALSE()),1)</f>
        <v/>
      </c>
      <c r="AB10" s="10">
        <f>IFERROR(VLOOKUP(G10,Teknofest_Map!$A$2:$B$6,2,FALSE()),1)</f>
        <v/>
      </c>
      <c r="AC10" s="10">
        <f>IFERROR(AVERAGE(O10,P10,Q10,R10,S10),0)</f>
        <v/>
      </c>
      <c r="AD10" s="10">
        <f>IF(T10="Y",ROW()-2,"")</f>
        <v/>
      </c>
    </row>
    <row r="11" ht="25.5" customHeight="1" s="31">
      <c r="A11" s="5" t="n">
        <v>9</v>
      </c>
      <c r="B11" s="6" t="inlineStr">
        <is>
          <t>Hacer Mehmet (Hajir Al-Nuaimi)</t>
        </is>
      </c>
      <c r="C11" s="6" t="inlineStr">
        <is>
          <t>Yıldız Teknik</t>
        </is>
      </c>
      <c r="D11" s="6" t="inlineStr">
        <is>
          <t>Control Engineering</t>
        </is>
      </c>
      <c r="E11" s="7" t="inlineStr">
        <is>
          <t>4th year</t>
        </is>
      </c>
      <c r="F11" s="7" t="n"/>
      <c r="G11" s="7" t="inlineStr">
        <is>
          <t>Participated once</t>
        </is>
      </c>
      <c r="H11" s="7" t="n">
        <v>5</v>
      </c>
      <c r="I11" s="7" t="n">
        <v>3</v>
      </c>
      <c r="J11" s="7" t="n">
        <v>5</v>
      </c>
      <c r="K11" s="7" t="n">
        <v>5</v>
      </c>
      <c r="L11" s="7" t="n">
        <v>4</v>
      </c>
      <c r="M11" s="7" t="n">
        <v>5</v>
      </c>
      <c r="N11" s="7" t="n"/>
      <c r="O11" s="7" t="n"/>
      <c r="P11" s="7" t="n"/>
      <c r="Q11" s="7" t="n"/>
      <c r="R11" s="7" t="n"/>
      <c r="S11" s="7" t="n"/>
      <c r="T11" s="7" t="inlineStr">
        <is>
          <t>N</t>
        </is>
      </c>
      <c r="U11" s="8">
        <f>IF(B11="","",(X11*Weights!$B$2+Y11*Weights!$B$3+Z11*Weights!$B$4+AA11*Weights!$B$5+AB11*Weights!$B$6+H11*Weights!$B$7+I11*Weights!$B$8+J11*Weights!$B$9+K11*Weights!$B$10+L11*Weights!$B$11+M11*Weights!$B$12+N11*Weights!$B$13+AC11*Weights!$B$14)/5)</f>
        <v/>
      </c>
      <c r="V11" s="9">
        <f>IF(OR(B11="",T11="Y"),"",1+SUMPRODUCT(((U$3:U$32&gt;U11)+((U$3:U$32=U11)*(ROW(U$3:U$32)&lt;11)))*(T$3:T$32&lt;&gt;"Y")*(B$3:B$32&lt;&gt;"")))</f>
        <v/>
      </c>
      <c r="W11" s="6" t="inlineStr">
        <is>
          <t>YTU Control Eng senior, expected Dec 2026. Senior thesis: VTOL UAV design &amp; flight control. MATLAB MiniDrone Competition 2024.</t>
        </is>
      </c>
      <c r="X11" s="10">
        <f>IFERROR(VLOOKUP(VLOOKUP(C11,Uni_Tiers!$A$2:$B$24,2,FALSE()),Uni_Tiers!$E$2:$F$6,2,FALSE()),IF(C11="",1,2))</f>
        <v/>
      </c>
      <c r="Y11" s="10">
        <f>IFERROR(VLOOKUP(D11,Dept_Fit!$A$2:$B$15,2,FALSE()),1)</f>
        <v/>
      </c>
      <c r="Z11" s="10">
        <f>IF(F11="",1,IF(F11&gt;=3.5,5,IF(F11&gt;=3,4,IF(F11&gt;=2.5,3,IF(F11&gt;=2,2,1)))))</f>
        <v/>
      </c>
      <c r="AA11" s="10">
        <f>IFERROR(VLOOKUP(E11,Status_Map!$A$2:$B$9,2,FALSE()),1)</f>
        <v/>
      </c>
      <c r="AB11" s="10">
        <f>IFERROR(VLOOKUP(G11,Teknofest_Map!$A$2:$B$6,2,FALSE()),1)</f>
        <v/>
      </c>
      <c r="AC11" s="10">
        <f>IFERROR(AVERAGE(O11,P11,Q11,R11,S11),0)</f>
        <v/>
      </c>
      <c r="AD11" s="10">
        <f>IF(T11="Y",ROW()-2,"")</f>
        <v/>
      </c>
    </row>
    <row r="12" ht="25.5" customHeight="1" s="31">
      <c r="A12" s="5" t="n">
        <v>10</v>
      </c>
      <c r="B12" s="6" t="inlineStr">
        <is>
          <t>Hatixhe Merkaj</t>
        </is>
      </c>
      <c r="C12" s="6" t="inlineStr">
        <is>
          <t>ITU</t>
        </is>
      </c>
      <c r="D12" s="6" t="inlineStr">
        <is>
          <t>Electronics Engineering</t>
        </is>
      </c>
      <c r="E12" s="7" t="inlineStr">
        <is>
          <t>3rd year</t>
        </is>
      </c>
      <c r="F12" s="7" t="n"/>
      <c r="G12" s="7" t="inlineStr">
        <is>
          <t>None</t>
        </is>
      </c>
      <c r="H12" s="7" t="n">
        <v>3</v>
      </c>
      <c r="I12" s="7" t="n">
        <v>3</v>
      </c>
      <c r="J12" s="7" t="n">
        <v>1</v>
      </c>
      <c r="K12" s="7" t="n">
        <v>4</v>
      </c>
      <c r="L12" s="7" t="n">
        <v>4</v>
      </c>
      <c r="M12" s="7" t="n">
        <v>5</v>
      </c>
      <c r="N12" s="7" t="n"/>
      <c r="O12" s="7" t="n"/>
      <c r="P12" s="7" t="n"/>
      <c r="Q12" s="7" t="n"/>
      <c r="R12" s="7" t="n"/>
      <c r="S12" s="7" t="n"/>
      <c r="T12" s="7" t="inlineStr">
        <is>
          <t>N</t>
        </is>
      </c>
      <c r="U12" s="8">
        <f>IF(B12="","",(X12*Weights!$B$2+Y12*Weights!$B$3+Z12*Weights!$B$4+AA12*Weights!$B$5+AB12*Weights!$B$6+H12*Weights!$B$7+I12*Weights!$B$8+J12*Weights!$B$9+K12*Weights!$B$10+L12*Weights!$B$11+M12*Weights!$B$12+N12*Weights!$B$13+AC12*Weights!$B$14)/5)</f>
        <v/>
      </c>
      <c r="V12" s="9">
        <f>IF(OR(B12="",T12="Y"),"",1+SUMPRODUCT(((U$3:U$32&gt;U12)+((U$3:U$32=U12)*(ROW(U$3:U$32)&lt;12)))*(T$3:T$32&lt;&gt;"Y")*(B$3:B$32&lt;&gt;"")))</f>
        <v/>
      </c>
      <c r="W12" s="6" t="inlineStr">
        <is>
          <t>ITU Electronics &amp; Communication 3rd year. ITU Hyperbee team; MBSE work.</t>
        </is>
      </c>
      <c r="X12" s="10">
        <f>IFERROR(VLOOKUP(VLOOKUP(C12,Uni_Tiers!$A$2:$B$24,2,FALSE()),Uni_Tiers!$E$2:$F$6,2,FALSE()),IF(C12="",1,2))</f>
        <v/>
      </c>
      <c r="Y12" s="10">
        <f>IFERROR(VLOOKUP(D12,Dept_Fit!$A$2:$B$15,2,FALSE()),1)</f>
        <v/>
      </c>
      <c r="Z12" s="10">
        <f>IF(F12="",1,IF(F12&gt;=3.5,5,IF(F12&gt;=3,4,IF(F12&gt;=2.5,3,IF(F12&gt;=2,2,1)))))</f>
        <v/>
      </c>
      <c r="AA12" s="10">
        <f>IFERROR(VLOOKUP(E12,Status_Map!$A$2:$B$9,2,FALSE()),1)</f>
        <v/>
      </c>
      <c r="AB12" s="10">
        <f>IFERROR(VLOOKUP(G12,Teknofest_Map!$A$2:$B$6,2,FALSE()),1)</f>
        <v/>
      </c>
      <c r="AC12" s="10">
        <f>IFERROR(AVERAGE(O12,P12,Q12,R12,S12),0)</f>
        <v/>
      </c>
      <c r="AD12" s="10">
        <f>IF(T12="Y",ROW()-2,"")</f>
        <v/>
      </c>
    </row>
    <row r="13" ht="25.5" customHeight="1" s="31">
      <c r="A13" s="5" t="n">
        <v>11</v>
      </c>
      <c r="B13" s="6" t="inlineStr">
        <is>
          <t>Hüseyin Kırca</t>
        </is>
      </c>
      <c r="C13" s="6" t="inlineStr">
        <is>
          <t>Other</t>
        </is>
      </c>
      <c r="D13" s="6" t="inlineStr">
        <is>
          <t>Mechatronics Engineering</t>
        </is>
      </c>
      <c r="E13" s="7" t="inlineStr">
        <is>
          <t>3rd year</t>
        </is>
      </c>
      <c r="F13" s="7" t="n">
        <v>3.3</v>
      </c>
      <c r="G13" s="7" t="inlineStr">
        <is>
          <t>None</t>
        </is>
      </c>
      <c r="H13" s="7" t="n">
        <v>5</v>
      </c>
      <c r="I13" s="7" t="n">
        <v>3</v>
      </c>
      <c r="J13" s="7" t="n">
        <v>2</v>
      </c>
      <c r="K13" s="7" t="n">
        <v>5</v>
      </c>
      <c r="L13" s="7" t="n">
        <v>2</v>
      </c>
      <c r="M13" s="7" t="n">
        <v>3</v>
      </c>
      <c r="N13" s="7" t="n"/>
      <c r="O13" s="7" t="n"/>
      <c r="P13" s="7" t="n"/>
      <c r="Q13" s="7" t="n"/>
      <c r="R13" s="7" t="n"/>
      <c r="S13" s="7" t="n"/>
      <c r="T13" s="7" t="inlineStr">
        <is>
          <t>N</t>
        </is>
      </c>
      <c r="U13" s="8">
        <f>IF(B13="","",(X13*Weights!$B$2+Y13*Weights!$B$3+Z13*Weights!$B$4+AA13*Weights!$B$5+AB13*Weights!$B$6+H13*Weights!$B$7+I13*Weights!$B$8+J13*Weights!$B$9+K13*Weights!$B$10+L13*Weights!$B$11+M13*Weights!$B$12+N13*Weights!$B$13+AC13*Weights!$B$14)/5)</f>
        <v/>
      </c>
      <c r="V13" s="9">
        <f>IF(OR(B13="",T13="Y"),"",1+SUMPRODUCT(((U$3:U$32&gt;U13)+((U$3:U$32=U13)*(ROW(U$3:U$32)&lt;13)))*(T$3:T$32&lt;&gt;"Y")*(B$3:B$32&lt;&gt;"")))</f>
        <v/>
      </c>
      <c r="W13" s="6" t="inlineStr">
        <is>
          <t>Kocaeli Üni Mekatronik 3. sınıf. Computer vision focus. No Teknofest mention.</t>
        </is>
      </c>
      <c r="X13" s="10">
        <f>IFERROR(VLOOKUP(VLOOKUP(C13,Uni_Tiers!$A$2:$B$24,2,FALSE()),Uni_Tiers!$E$2:$F$6,2,FALSE()),IF(C13="",1,2))</f>
        <v/>
      </c>
      <c r="Y13" s="10">
        <f>IFERROR(VLOOKUP(D13,Dept_Fit!$A$2:$B$15,2,FALSE()),1)</f>
        <v/>
      </c>
      <c r="Z13" s="10">
        <f>IF(F13="",1,IF(F13&gt;=3.5,5,IF(F13&gt;=3,4,IF(F13&gt;=2.5,3,IF(F13&gt;=2,2,1)))))</f>
        <v/>
      </c>
      <c r="AA13" s="10">
        <f>IFERROR(VLOOKUP(E13,Status_Map!$A$2:$B$9,2,FALSE()),1)</f>
        <v/>
      </c>
      <c r="AB13" s="10">
        <f>IFERROR(VLOOKUP(G13,Teknofest_Map!$A$2:$B$6,2,FALSE()),1)</f>
        <v/>
      </c>
      <c r="AC13" s="10">
        <f>IFERROR(AVERAGE(O13,P13,Q13,R13,S13),0)</f>
        <v/>
      </c>
      <c r="AD13" s="10">
        <f>IF(T13="Y",ROW()-2,"")</f>
        <v/>
      </c>
    </row>
    <row r="14" ht="25.5" customHeight="1" s="31">
      <c r="A14" s="5" t="n">
        <v>12</v>
      </c>
      <c r="B14" s="6" t="inlineStr">
        <is>
          <t>Kübra Selin Yılmaz</t>
        </is>
      </c>
      <c r="C14" s="6" t="inlineStr">
        <is>
          <t>Yıldız Teknik</t>
        </is>
      </c>
      <c r="D14" s="6" t="inlineStr">
        <is>
          <t>Control Engineering</t>
        </is>
      </c>
      <c r="E14" s="7" t="inlineStr">
        <is>
          <t>4th year</t>
        </is>
      </c>
      <c r="F14" s="7" t="n">
        <v>3.14</v>
      </c>
      <c r="G14" s="7" t="inlineStr">
        <is>
          <t>None</t>
        </is>
      </c>
      <c r="H14" s="7" t="n">
        <v>5</v>
      </c>
      <c r="I14" s="7" t="n">
        <v>5</v>
      </c>
      <c r="J14" s="7" t="n">
        <v>5</v>
      </c>
      <c r="K14" s="7" t="n">
        <v>5</v>
      </c>
      <c r="L14" s="7" t="n">
        <v>2</v>
      </c>
      <c r="M14" s="7" t="n">
        <v>3</v>
      </c>
      <c r="N14" s="7" t="n"/>
      <c r="O14" s="7" t="n"/>
      <c r="P14" s="7" t="n"/>
      <c r="Q14" s="7" t="n"/>
      <c r="R14" s="7" t="n"/>
      <c r="S14" s="7" t="n"/>
      <c r="T14" s="7" t="inlineStr">
        <is>
          <t>N</t>
        </is>
      </c>
      <c r="U14" s="8">
        <f>IF(B14="","",(X14*Weights!$B$2+Y14*Weights!$B$3+Z14*Weights!$B$4+AA14*Weights!$B$5+AB14*Weights!$B$6+H14*Weights!$B$7+I14*Weights!$B$8+J14*Weights!$B$9+K14*Weights!$B$10+L14*Weights!$B$11+M14*Weights!$B$12+N14*Weights!$B$13+AC14*Weights!$B$14)/5)</f>
        <v/>
      </c>
      <c r="V14" s="9">
        <f>IF(OR(B14="",T14="Y"),"",1+SUMPRODUCT(((U$3:U$32&gt;U14)+((U$3:U$32=U14)*(ROW(U$3:U$32)&lt;14)))*(T$3:T$32&lt;&gt;"Y")*(B$3:B$32&lt;&gt;"")))</f>
        <v/>
      </c>
      <c r="W14" s="6" t="inlineStr">
        <is>
          <t>4th year, AGNO 3.14. MSC Nastran/Patran (modal analysis) — software, not academic degree.</t>
        </is>
      </c>
      <c r="X14" s="10">
        <f>IFERROR(VLOOKUP(VLOOKUP(C14,Uni_Tiers!$A$2:$B$24,2,FALSE()),Uni_Tiers!$E$2:$F$6,2,FALSE()),IF(C14="",1,2))</f>
        <v/>
      </c>
      <c r="Y14" s="10">
        <f>IFERROR(VLOOKUP(D14,Dept_Fit!$A$2:$B$15,2,FALSE()),1)</f>
        <v/>
      </c>
      <c r="Z14" s="10">
        <f>IF(F14="",1,IF(F14&gt;=3.5,5,IF(F14&gt;=3,4,IF(F14&gt;=2.5,3,IF(F14&gt;=2,2,1)))))</f>
        <v/>
      </c>
      <c r="AA14" s="10">
        <f>IFERROR(VLOOKUP(E14,Status_Map!$A$2:$B$9,2,FALSE()),1)</f>
        <v/>
      </c>
      <c r="AB14" s="10">
        <f>IFERROR(VLOOKUP(G14,Teknofest_Map!$A$2:$B$6,2,FALSE()),1)</f>
        <v/>
      </c>
      <c r="AC14" s="10">
        <f>IFERROR(AVERAGE(O14,P14,Q14,R14,S14),0)</f>
        <v/>
      </c>
      <c r="AD14" s="10">
        <f>IF(T14="Y",ROW()-2,"")</f>
        <v/>
      </c>
    </row>
    <row r="15" ht="25.5" customHeight="1" s="31">
      <c r="A15" s="5" t="n">
        <v>13</v>
      </c>
      <c r="B15" s="6" t="inlineStr">
        <is>
          <t>Mahmut Arpacı</t>
        </is>
      </c>
      <c r="C15" s="6" t="inlineStr">
        <is>
          <t>Other</t>
        </is>
      </c>
      <c r="D15" s="6" t="inlineStr">
        <is>
          <t>Mechatronics Engineering</t>
        </is>
      </c>
      <c r="E15" s="7" t="inlineStr">
        <is>
          <t>Fresh graduate (&lt;1 yr)</t>
        </is>
      </c>
      <c r="F15" s="7" t="n">
        <v>3.03</v>
      </c>
      <c r="G15" s="7" t="inlineStr">
        <is>
          <t>Podium / finals</t>
        </is>
      </c>
      <c r="H15" s="7" t="n">
        <v>5</v>
      </c>
      <c r="I15" s="7" t="n">
        <v>4</v>
      </c>
      <c r="J15" s="7" t="n">
        <v>3</v>
      </c>
      <c r="K15" s="7" t="n">
        <v>4</v>
      </c>
      <c r="L15" s="7" t="n">
        <v>3</v>
      </c>
      <c r="M15" s="7" t="n">
        <v>3</v>
      </c>
      <c r="N15" s="7" t="n"/>
      <c r="O15" s="7" t="n"/>
      <c r="P15" s="7" t="n"/>
      <c r="Q15" s="7" t="n"/>
      <c r="R15" s="7" t="n"/>
      <c r="S15" s="7" t="n"/>
      <c r="T15" s="7" t="inlineStr">
        <is>
          <t>N</t>
        </is>
      </c>
      <c r="U15" s="8">
        <f>IF(B15="","",(X15*Weights!$B$2+Y15*Weights!$B$3+Z15*Weights!$B$4+AA15*Weights!$B$5+AB15*Weights!$B$6+H15*Weights!$B$7+I15*Weights!$B$8+J15*Weights!$B$9+K15*Weights!$B$10+L15*Weights!$B$11+M15*Weights!$B$12+N15*Weights!$B$13+AC15*Weights!$B$14)/5)</f>
        <v/>
      </c>
      <c r="V15" s="9">
        <f>IF(OR(B15="",T15="Y"),"",1+SUMPRODUCT(((U$3:U$32&gt;U15)+((U$3:U$32=U15)*(ROW(U$3:U$32)&lt;15)))*(T$3:T$32&lt;&gt;"Y")*(B$3:B$32&lt;&gt;"")))</f>
        <v/>
      </c>
      <c r="W15" s="6" t="inlineStr">
        <is>
          <t>Marmara Üni Mekatronik, Gano 3.03. Teknofest 2025 Finalist – Hava Savunma Sistemleri + İnsansız Su Altı.</t>
        </is>
      </c>
      <c r="X15" s="10">
        <f>IFERROR(VLOOKUP(VLOOKUP(C15,Uni_Tiers!$A$2:$B$24,2,FALSE()),Uni_Tiers!$E$2:$F$6,2,FALSE()),IF(C15="",1,2))</f>
        <v/>
      </c>
      <c r="Y15" s="10">
        <f>IFERROR(VLOOKUP(D15,Dept_Fit!$A$2:$B$15,2,FALSE()),1)</f>
        <v/>
      </c>
      <c r="Z15" s="10">
        <f>IF(F15="",1,IF(F15&gt;=3.5,5,IF(F15&gt;=3,4,IF(F15&gt;=2.5,3,IF(F15&gt;=2,2,1)))))</f>
        <v/>
      </c>
      <c r="AA15" s="10">
        <f>IFERROR(VLOOKUP(E15,Status_Map!$A$2:$B$9,2,FALSE()),1)</f>
        <v/>
      </c>
      <c r="AB15" s="10">
        <f>IFERROR(VLOOKUP(G15,Teknofest_Map!$A$2:$B$6,2,FALSE()),1)</f>
        <v/>
      </c>
      <c r="AC15" s="10">
        <f>IFERROR(AVERAGE(O15,P15,Q15,R15,S15),0)</f>
        <v/>
      </c>
      <c r="AD15" s="10">
        <f>IF(T15="Y",ROW()-2,"")</f>
        <v/>
      </c>
    </row>
    <row r="16" ht="25.5" customHeight="1" s="31">
      <c r="A16" s="5" t="n">
        <v>14</v>
      </c>
      <c r="B16" s="6" t="inlineStr">
        <is>
          <t>Melike Demirtaş</t>
        </is>
      </c>
      <c r="C16" s="6" t="inlineStr">
        <is>
          <t>Other</t>
        </is>
      </c>
      <c r="D16" s="6" t="inlineStr">
        <is>
          <t>Electronics Engineering</t>
        </is>
      </c>
      <c r="E16" s="7" t="inlineStr">
        <is>
          <t>3rd year</t>
        </is>
      </c>
      <c r="F16" s="7" t="n">
        <v>2.94</v>
      </c>
      <c r="G16" s="7" t="inlineStr">
        <is>
          <t>Podium / finals</t>
        </is>
      </c>
      <c r="H16" s="7" t="n">
        <v>3</v>
      </c>
      <c r="I16" s="7" t="n">
        <v>2</v>
      </c>
      <c r="J16" s="7" t="n">
        <v>1</v>
      </c>
      <c r="K16" s="7" t="n">
        <v>4</v>
      </c>
      <c r="L16" s="7" t="n">
        <v>4</v>
      </c>
      <c r="M16" s="7" t="n">
        <v>3</v>
      </c>
      <c r="N16" s="7" t="n"/>
      <c r="O16" s="7" t="n"/>
      <c r="P16" s="7" t="n"/>
      <c r="Q16" s="7" t="n"/>
      <c r="R16" s="7" t="n"/>
      <c r="S16" s="7" t="n"/>
      <c r="T16" s="7" t="inlineStr">
        <is>
          <t>N</t>
        </is>
      </c>
      <c r="U16" s="8">
        <f>IF(B16="","",(X16*Weights!$B$2+Y16*Weights!$B$3+Z16*Weights!$B$4+AA16*Weights!$B$5+AB16*Weights!$B$6+H16*Weights!$B$7+I16*Weights!$B$8+J16*Weights!$B$9+K16*Weights!$B$10+L16*Weights!$B$11+M16*Weights!$B$12+N16*Weights!$B$13+AC16*Weights!$B$14)/5)</f>
        <v/>
      </c>
      <c r="V16" s="9">
        <f>IF(OR(B16="",T16="Y"),"",1+SUMPRODUCT(((U$3:U$32&gt;U16)+((U$3:U$32=U16)*(ROW(U$3:U$32)&lt;16)))*(T$3:T$32&lt;&gt;"Y")*(B$3:B$32&lt;&gt;"")))</f>
        <v/>
      </c>
      <c r="W16" s="6" t="inlineStr">
        <is>
          <t>GTU EE 3rd year, GNO 2.94. Teknofest Savaşan İHA Aviyonik Lider 2025; 2024 Uluslararası İHA Türkiye Finalist. Portfolio is image-only PDF — review separately.</t>
        </is>
      </c>
      <c r="X16" s="10">
        <f>IFERROR(VLOOKUP(VLOOKUP(C16,Uni_Tiers!$A$2:$B$24,2,FALSE()),Uni_Tiers!$E$2:$F$6,2,FALSE()),IF(C16="",1,2))</f>
        <v/>
      </c>
      <c r="Y16" s="10">
        <f>IFERROR(VLOOKUP(D16,Dept_Fit!$A$2:$B$15,2,FALSE()),1)</f>
        <v/>
      </c>
      <c r="Z16" s="10">
        <f>IF(F16="",1,IF(F16&gt;=3.5,5,IF(F16&gt;=3,4,IF(F16&gt;=2.5,3,IF(F16&gt;=2,2,1)))))</f>
        <v/>
      </c>
      <c r="AA16" s="10">
        <f>IFERROR(VLOOKUP(E16,Status_Map!$A$2:$B$9,2,FALSE()),1)</f>
        <v/>
      </c>
      <c r="AB16" s="10">
        <f>IFERROR(VLOOKUP(G16,Teknofest_Map!$A$2:$B$6,2,FALSE()),1)</f>
        <v/>
      </c>
      <c r="AC16" s="10">
        <f>IFERROR(AVERAGE(O16,P16,Q16,R16,S16),0)</f>
        <v/>
      </c>
      <c r="AD16" s="10">
        <f>IF(T16="Y",ROW()-2,"")</f>
        <v/>
      </c>
    </row>
    <row r="17" ht="25.5" customHeight="1" s="31">
      <c r="A17" s="5" t="n">
        <v>15</v>
      </c>
      <c r="B17" s="6" t="inlineStr">
        <is>
          <t>Momen Aref</t>
        </is>
      </c>
      <c r="C17" s="6" t="inlineStr">
        <is>
          <t>Yıldız Teknik</t>
        </is>
      </c>
      <c r="D17" s="6" t="inlineStr">
        <is>
          <t>Control Engineering</t>
        </is>
      </c>
      <c r="E17" s="7" t="inlineStr">
        <is>
          <t>Fresh graduate (&lt;1 yr)</t>
        </is>
      </c>
      <c r="F17" s="7" t="n"/>
      <c r="G17" s="7" t="inlineStr">
        <is>
          <t>Participated once</t>
        </is>
      </c>
      <c r="H17" s="7" t="n">
        <v>4</v>
      </c>
      <c r="I17" s="7" t="n">
        <v>2</v>
      </c>
      <c r="J17" s="7" t="n">
        <v>2</v>
      </c>
      <c r="K17" s="7" t="n">
        <v>4</v>
      </c>
      <c r="L17" s="7" t="n">
        <v>2</v>
      </c>
      <c r="M17" s="7" t="n">
        <v>5</v>
      </c>
      <c r="N17" s="7" t="n"/>
      <c r="O17" s="7" t="n"/>
      <c r="P17" s="7" t="n"/>
      <c r="Q17" s="7" t="n"/>
      <c r="R17" s="7" t="n"/>
      <c r="S17" s="7" t="n"/>
      <c r="T17" s="7" t="inlineStr">
        <is>
          <t>N</t>
        </is>
      </c>
      <c r="U17" s="8">
        <f>IF(B17="","",(X17*Weights!$B$2+Y17*Weights!$B$3+Z17*Weights!$B$4+AA17*Weights!$B$5+AB17*Weights!$B$6+H17*Weights!$B$7+I17*Weights!$B$8+J17*Weights!$B$9+K17*Weights!$B$10+L17*Weights!$B$11+M17*Weights!$B$12+N17*Weights!$B$13+AC17*Weights!$B$14)/5)</f>
        <v/>
      </c>
      <c r="V17" s="9">
        <f>IF(OR(B17="",T17="Y"),"",1+SUMPRODUCT(((U$3:U$32&gt;U17)+((U$3:U$32=U17)*(ROW(U$3:U$32)&lt;17)))*(T$3:T$32&lt;&gt;"Y")*(B$3:B$32&lt;&gt;"")))</f>
        <v/>
      </c>
      <c r="W17" s="6" t="inlineStr">
        <is>
          <t>Yildiz Technical, Control &amp; Automation 2021-2026. MPC/PID, embedded control.</t>
        </is>
      </c>
      <c r="X17" s="10">
        <f>IFERROR(VLOOKUP(VLOOKUP(C17,Uni_Tiers!$A$2:$B$24,2,FALSE()),Uni_Tiers!$E$2:$F$6,2,FALSE()),IF(C17="",1,2))</f>
        <v/>
      </c>
      <c r="Y17" s="10">
        <f>IFERROR(VLOOKUP(D17,Dept_Fit!$A$2:$B$15,2,FALSE()),1)</f>
        <v/>
      </c>
      <c r="Z17" s="10">
        <f>IF(F17="",1,IF(F17&gt;=3.5,5,IF(F17&gt;=3,4,IF(F17&gt;=2.5,3,IF(F17&gt;=2,2,1)))))</f>
        <v/>
      </c>
      <c r="AA17" s="10">
        <f>IFERROR(VLOOKUP(E17,Status_Map!$A$2:$B$9,2,FALSE()),1)</f>
        <v/>
      </c>
      <c r="AB17" s="10">
        <f>IFERROR(VLOOKUP(G17,Teknofest_Map!$A$2:$B$6,2,FALSE()),1)</f>
        <v/>
      </c>
      <c r="AC17" s="10">
        <f>IFERROR(AVERAGE(O17,P17,Q17,R17,S17),0)</f>
        <v/>
      </c>
      <c r="AD17" s="10">
        <f>IF(T17="Y",ROW()-2,"")</f>
        <v/>
      </c>
    </row>
    <row r="18" ht="38.25" customHeight="1" s="31">
      <c r="A18" s="5" t="n">
        <v>16</v>
      </c>
      <c r="B18" s="6" t="inlineStr">
        <is>
          <t>Mostafa Mahmoud</t>
        </is>
      </c>
      <c r="C18" s="6" t="inlineStr">
        <is>
          <t>Yıldız Teknik</t>
        </is>
      </c>
      <c r="D18" s="6" t="inlineStr">
        <is>
          <t>Mechatronics Engineering</t>
        </is>
      </c>
      <c r="E18" s="7" t="inlineStr">
        <is>
          <t>3rd year</t>
        </is>
      </c>
      <c r="F18" s="7" t="n">
        <v>3.35</v>
      </c>
      <c r="G18" s="7" t="inlineStr">
        <is>
          <t>Participated multiple times</t>
        </is>
      </c>
      <c r="H18" s="7" t="n">
        <v>4</v>
      </c>
      <c r="I18" s="7" t="n">
        <v>3</v>
      </c>
      <c r="J18" s="7" t="n">
        <v>3</v>
      </c>
      <c r="K18" s="7" t="n">
        <v>5</v>
      </c>
      <c r="L18" s="7" t="n">
        <v>4</v>
      </c>
      <c r="M18" s="7" t="n">
        <v>3</v>
      </c>
      <c r="N18" s="7" t="n"/>
      <c r="O18" s="7" t="n"/>
      <c r="P18" s="7" t="n"/>
      <c r="Q18" s="7" t="n"/>
      <c r="R18" s="7" t="n"/>
      <c r="S18" s="7" t="n"/>
      <c r="T18" s="7" t="inlineStr">
        <is>
          <t>N</t>
        </is>
      </c>
      <c r="U18" s="8">
        <f>IF(B18="","",(X18*Weights!$B$2+Y18*Weights!$B$3+Z18*Weights!$B$4+AA18*Weights!$B$5+AB18*Weights!$B$6+H18*Weights!$B$7+I18*Weights!$B$8+J18*Weights!$B$9+K18*Weights!$B$10+L18*Weights!$B$11+M18*Weights!$B$12+N18*Weights!$B$13+AC18*Weights!$B$14)/5)</f>
        <v/>
      </c>
      <c r="V18" s="9">
        <f>IF(OR(B18="",T18="Y"),"",1+SUMPRODUCT(((U$3:U$32&gt;U18)+((U$3:U$32=U18)*(ROW(U$3:U$32)&lt;18)))*(T$3:T$32&lt;&gt;"Y")*(B$3:B$32&lt;&gt;"")))</f>
        <v/>
      </c>
      <c r="W18" s="6" t="inlineStr">
        <is>
          <t>YTU Mechatronics 3rd year, GPA 3.35. Teknofest Air Defence + AI in Aviation competitions. Embedded systems focus, M2lab candidate.</t>
        </is>
      </c>
      <c r="X18" s="10">
        <f>IFERROR(VLOOKUP(VLOOKUP(C18,Uni_Tiers!$A$2:$B$24,2,FALSE()),Uni_Tiers!$E$2:$F$6,2,FALSE()),IF(C18="",1,2))</f>
        <v/>
      </c>
      <c r="Y18" s="10">
        <f>IFERROR(VLOOKUP(D18,Dept_Fit!$A$2:$B$15,2,FALSE()),1)</f>
        <v/>
      </c>
      <c r="Z18" s="10">
        <f>IF(F18="",1,IF(F18&gt;=3.5,5,IF(F18&gt;=3,4,IF(F18&gt;=2.5,3,IF(F18&gt;=2,2,1)))))</f>
        <v/>
      </c>
      <c r="AA18" s="10">
        <f>IFERROR(VLOOKUP(E18,Status_Map!$A$2:$B$9,2,FALSE()),1)</f>
        <v/>
      </c>
      <c r="AB18" s="10">
        <f>IFERROR(VLOOKUP(G18,Teknofest_Map!$A$2:$B$6,2,FALSE()),1)</f>
        <v/>
      </c>
      <c r="AC18" s="10">
        <f>IFERROR(AVERAGE(O18,P18,Q18,R18,S18),0)</f>
        <v/>
      </c>
      <c r="AD18" s="10">
        <f>IF(T18="Y",ROW()-2,"")</f>
        <v/>
      </c>
    </row>
    <row r="19" ht="38.25" customHeight="1" s="31">
      <c r="A19" s="5" t="n">
        <v>17</v>
      </c>
      <c r="B19" s="6" t="inlineStr">
        <is>
          <t>Muhammed Eyüp Rüzgar</t>
        </is>
      </c>
      <c r="C19" s="6" t="inlineStr">
        <is>
          <t>Yıldız Teknik</t>
        </is>
      </c>
      <c r="D19" s="6" t="inlineStr">
        <is>
          <t>Control Engineering</t>
        </is>
      </c>
      <c r="E19" s="7" t="inlineStr">
        <is>
          <t>4th year</t>
        </is>
      </c>
      <c r="F19" s="7" t="n">
        <v>2.64</v>
      </c>
      <c r="G19" s="7" t="inlineStr">
        <is>
          <t>None</t>
        </is>
      </c>
      <c r="H19" s="7" t="n">
        <v>2</v>
      </c>
      <c r="I19" s="7" t="n">
        <v>2</v>
      </c>
      <c r="J19" s="7" t="n">
        <v>1</v>
      </c>
      <c r="K19" s="7" t="n">
        <v>4</v>
      </c>
      <c r="L19" s="7" t="n">
        <v>1</v>
      </c>
      <c r="M19" s="7" t="n">
        <v>3</v>
      </c>
      <c r="N19" s="7" t="n"/>
      <c r="O19" s="7" t="n"/>
      <c r="P19" s="7" t="n"/>
      <c r="Q19" s="7" t="n"/>
      <c r="R19" s="7" t="n"/>
      <c r="S19" s="7" t="n"/>
      <c r="T19" s="7" t="inlineStr">
        <is>
          <t>N</t>
        </is>
      </c>
      <c r="U19" s="8">
        <f>IF(B19="","",(X19*Weights!$B$2+Y19*Weights!$B$3+Z19*Weights!$B$4+AA19*Weights!$B$5+AB19*Weights!$B$6+H19*Weights!$B$7+I19*Weights!$B$8+J19*Weights!$B$9+K19*Weights!$B$10+L19*Weights!$B$11+M19*Weights!$B$12+N19*Weights!$B$13+AC19*Weights!$B$14)/5)</f>
        <v/>
      </c>
      <c r="V19" s="9">
        <f>IF(OR(B19="",T19="Y"),"",1+SUMPRODUCT(((U$3:U$32&gt;U19)+((U$3:U$32=U19)*(ROW(U$3:U$32)&lt;19)))*(T$3:T$32&lt;&gt;"Y")*(B$3:B$32&lt;&gt;"")))</f>
        <v/>
      </c>
      <c r="W19" s="6" t="inlineStr">
        <is>
          <t>YTU Kontrol &amp; Otomasyon, GNO 2.64, started Oct 2021. Robot programming, PLC, HMI. No Teknofest involvement.</t>
        </is>
      </c>
      <c r="X19" s="10">
        <f>IFERROR(VLOOKUP(VLOOKUP(C19,Uni_Tiers!$A$2:$B$24,2,FALSE()),Uni_Tiers!$E$2:$F$6,2,FALSE()),IF(C19="",1,2))</f>
        <v/>
      </c>
      <c r="Y19" s="10">
        <f>IFERROR(VLOOKUP(D19,Dept_Fit!$A$2:$B$15,2,FALSE()),1)</f>
        <v/>
      </c>
      <c r="Z19" s="10">
        <f>IF(F19="",1,IF(F19&gt;=3.5,5,IF(F19&gt;=3,4,IF(F19&gt;=2.5,3,IF(F19&gt;=2,2,1)))))</f>
        <v/>
      </c>
      <c r="AA19" s="10">
        <f>IFERROR(VLOOKUP(E19,Status_Map!$A$2:$B$9,2,FALSE()),1)</f>
        <v/>
      </c>
      <c r="AB19" s="10">
        <f>IFERROR(VLOOKUP(G19,Teknofest_Map!$A$2:$B$6,2,FALSE()),1)</f>
        <v/>
      </c>
      <c r="AC19" s="10">
        <f>IFERROR(AVERAGE(O19,P19,Q19,R19,S19),0)</f>
        <v/>
      </c>
      <c r="AD19" s="10">
        <f>IF(T19="Y",ROW()-2,"")</f>
        <v/>
      </c>
    </row>
    <row r="20" ht="25.5" customHeight="1" s="31">
      <c r="A20" s="5" t="n">
        <v>18</v>
      </c>
      <c r="B20" s="6" t="inlineStr">
        <is>
          <t>Muhammed Kadir Aksoy</t>
        </is>
      </c>
      <c r="C20" s="6" t="inlineStr">
        <is>
          <t>Yıldız Teknik</t>
        </is>
      </c>
      <c r="D20" s="6" t="inlineStr">
        <is>
          <t>Control Engineering</t>
        </is>
      </c>
      <c r="E20" s="7" t="inlineStr">
        <is>
          <t>4th year</t>
        </is>
      </c>
      <c r="F20" s="7" t="n"/>
      <c r="G20" s="7" t="inlineStr">
        <is>
          <t>None</t>
        </is>
      </c>
      <c r="H20" s="7" t="n">
        <v>5</v>
      </c>
      <c r="I20" s="7" t="n">
        <v>5</v>
      </c>
      <c r="J20" s="7" t="n">
        <v>4</v>
      </c>
      <c r="K20" s="7" t="n">
        <v>5</v>
      </c>
      <c r="L20" s="7" t="n">
        <v>4</v>
      </c>
      <c r="M20" s="7" t="n">
        <v>3</v>
      </c>
      <c r="N20" s="7" t="n"/>
      <c r="O20" s="7" t="n"/>
      <c r="P20" s="7" t="n"/>
      <c r="Q20" s="7" t="n"/>
      <c r="R20" s="7" t="n"/>
      <c r="S20" s="7" t="n"/>
      <c r="T20" s="7" t="inlineStr">
        <is>
          <t>N</t>
        </is>
      </c>
      <c r="U20" s="8">
        <f>IF(B20="","",(X20*Weights!$B$2+Y20*Weights!$B$3+Z20*Weights!$B$4+AA20*Weights!$B$5+AB20*Weights!$B$6+H20*Weights!$B$7+I20*Weights!$B$8+J20*Weights!$B$9+K20*Weights!$B$10+L20*Weights!$B$11+M20*Weights!$B$12+N20*Weights!$B$13+AC20*Weights!$B$14)/5)</f>
        <v/>
      </c>
      <c r="V20" s="9">
        <f>IF(OR(B20="",T20="Y"),"",1+SUMPRODUCT(((U$3:U$32&gt;U20)+((U$3:U$32=U20)*(ROW(U$3:U$32)&lt;20)))*(T$3:T$32&lt;&gt;"Y")*(B$3:B$32&lt;&gt;"")))</f>
        <v/>
      </c>
      <c r="W20" s="6" t="inlineStr">
        <is>
          <t>YTU Kontrol ve Otomasyon, son sınıf. YOLO26x-OBB benchmark work in portfolio.</t>
        </is>
      </c>
      <c r="X20" s="10">
        <f>IFERROR(VLOOKUP(VLOOKUP(C20,Uni_Tiers!$A$2:$B$24,2,FALSE()),Uni_Tiers!$E$2:$F$6,2,FALSE()),IF(C20="",1,2))</f>
        <v/>
      </c>
      <c r="Y20" s="10">
        <f>IFERROR(VLOOKUP(D20,Dept_Fit!$A$2:$B$15,2,FALSE()),1)</f>
        <v/>
      </c>
      <c r="Z20" s="10">
        <f>IF(F20="",1,IF(F20&gt;=3.5,5,IF(F20&gt;=3,4,IF(F20&gt;=2.5,3,IF(F20&gt;=2,2,1)))))</f>
        <v/>
      </c>
      <c r="AA20" s="10">
        <f>IFERROR(VLOOKUP(E20,Status_Map!$A$2:$B$9,2,FALSE()),1)</f>
        <v/>
      </c>
      <c r="AB20" s="10">
        <f>IFERROR(VLOOKUP(G20,Teknofest_Map!$A$2:$B$6,2,FALSE()),1)</f>
        <v/>
      </c>
      <c r="AC20" s="10">
        <f>IFERROR(AVERAGE(O20,P20,Q20,R20,S20),0)</f>
        <v/>
      </c>
      <c r="AD20" s="10">
        <f>IF(T20="Y",ROW()-2,"")</f>
        <v/>
      </c>
    </row>
    <row r="21" ht="15.75" customHeight="1" s="31">
      <c r="A21" s="5" t="n">
        <v>19</v>
      </c>
      <c r="B21" s="6" t="inlineStr">
        <is>
          <t>Nefise Yaşar</t>
        </is>
      </c>
      <c r="C21" s="6" t="inlineStr">
        <is>
          <t>Other</t>
        </is>
      </c>
      <c r="D21" s="6" t="inlineStr">
        <is>
          <t>Electronics Engineering</t>
        </is>
      </c>
      <c r="E21" s="7" t="inlineStr">
        <is>
          <t>3rd year</t>
        </is>
      </c>
      <c r="F21" s="7" t="n"/>
      <c r="G21" s="7" t="inlineStr">
        <is>
          <t>Participated once</t>
        </is>
      </c>
      <c r="H21" s="7" t="n">
        <v>3</v>
      </c>
      <c r="I21" s="7" t="n">
        <v>2</v>
      </c>
      <c r="J21" s="7" t="n">
        <v>1</v>
      </c>
      <c r="K21" s="7" t="n">
        <v>4</v>
      </c>
      <c r="L21" s="7" t="n">
        <v>2</v>
      </c>
      <c r="M21" s="7" t="n">
        <v>4</v>
      </c>
      <c r="N21" s="7" t="n"/>
      <c r="O21" s="7" t="n"/>
      <c r="P21" s="7" t="n"/>
      <c r="Q21" s="7" t="n"/>
      <c r="R21" s="7" t="n"/>
      <c r="S21" s="7" t="n"/>
      <c r="T21" s="7" t="inlineStr">
        <is>
          <t>N</t>
        </is>
      </c>
      <c r="U21" s="8">
        <f>IF(B21="","",(X21*Weights!$B$2+Y21*Weights!$B$3+Z21*Weights!$B$4+AA21*Weights!$B$5+AB21*Weights!$B$6+H21*Weights!$B$7+I21*Weights!$B$8+J21*Weights!$B$9+K21*Weights!$B$10+L21*Weights!$B$11+M21*Weights!$B$12+N21*Weights!$B$13+AC21*Weights!$B$14)/5)</f>
        <v/>
      </c>
      <c r="V21" s="9">
        <f>IF(OR(B21="",T21="Y"),"",1+SUMPRODUCT(((U$3:U$32&gt;U21)+((U$3:U$32=U21)*(ROW(U$3:U$32)&lt;21)))*(T$3:T$32&lt;&gt;"Y")*(B$3:B$32&lt;&gt;"")))</f>
        <v/>
      </c>
      <c r="W21" s="6" t="inlineStr">
        <is>
          <t>Kocaeli Üni Elektronik ve Haberleşme, 3.sınıf. Teknofest 2024 Savaşan İHA. Arduino projects.</t>
        </is>
      </c>
      <c r="X21" s="10">
        <f>IFERROR(VLOOKUP(VLOOKUP(C21,Uni_Tiers!$A$2:$B$24,2,FALSE()),Uni_Tiers!$E$2:$F$6,2,FALSE()),IF(C21="",1,2))</f>
        <v/>
      </c>
      <c r="Y21" s="10">
        <f>IFERROR(VLOOKUP(D21,Dept_Fit!$A$2:$B$15,2,FALSE()),1)</f>
        <v/>
      </c>
      <c r="Z21" s="10">
        <f>IF(F21="",1,IF(F21&gt;=3.5,5,IF(F21&gt;=3,4,IF(F21&gt;=2.5,3,IF(F21&gt;=2,2,1)))))</f>
        <v/>
      </c>
      <c r="AA21" s="10">
        <f>IFERROR(VLOOKUP(E21,Status_Map!$A$2:$B$9,2,FALSE()),1)</f>
        <v/>
      </c>
      <c r="AB21" s="10">
        <f>IFERROR(VLOOKUP(G21,Teknofest_Map!$A$2:$B$6,2,FALSE()),1)</f>
        <v/>
      </c>
      <c r="AC21" s="10">
        <f>IFERROR(AVERAGE(O21,P21,Q21,R21,S21),0)</f>
        <v/>
      </c>
      <c r="AD21" s="10">
        <f>IF(T21="Y",ROW()-2,"")</f>
        <v/>
      </c>
    </row>
    <row r="22" ht="15.75" customHeight="1" s="31">
      <c r="A22" s="5" t="n">
        <v>20</v>
      </c>
      <c r="B22" s="6" t="inlineStr">
        <is>
          <t>Nisa Nur Çolak</t>
        </is>
      </c>
      <c r="C22" s="6" t="inlineStr">
        <is>
          <t>Yıldız Teknik</t>
        </is>
      </c>
      <c r="D22" s="6" t="inlineStr">
        <is>
          <t>Control Engineering</t>
        </is>
      </c>
      <c r="E22" s="7" t="inlineStr">
        <is>
          <t>4th year</t>
        </is>
      </c>
      <c r="F22" s="7" t="n"/>
      <c r="G22" s="7" t="inlineStr">
        <is>
          <t>None</t>
        </is>
      </c>
      <c r="H22" s="7" t="n">
        <v>2</v>
      </c>
      <c r="I22" s="7" t="n">
        <v>2</v>
      </c>
      <c r="J22" s="7" t="n">
        <v>3</v>
      </c>
      <c r="K22" s="7" t="n">
        <v>3</v>
      </c>
      <c r="L22" s="7" t="n">
        <v>1</v>
      </c>
      <c r="M22" s="7" t="n">
        <v>5</v>
      </c>
      <c r="N22" s="7" t="n"/>
      <c r="O22" s="7" t="n"/>
      <c r="P22" s="7" t="n"/>
      <c r="Q22" s="7" t="n"/>
      <c r="R22" s="7" t="n"/>
      <c r="S22" s="7" t="n"/>
      <c r="T22" s="7" t="inlineStr">
        <is>
          <t>N</t>
        </is>
      </c>
      <c r="U22" s="8">
        <f>IF(B22="","",(X22*Weights!$B$2+Y22*Weights!$B$3+Z22*Weights!$B$4+AA22*Weights!$B$5+AB22*Weights!$B$6+H22*Weights!$B$7+I22*Weights!$B$8+J22*Weights!$B$9+K22*Weights!$B$10+L22*Weights!$B$11+M22*Weights!$B$12+N22*Weights!$B$13+AC22*Weights!$B$14)/5)</f>
        <v/>
      </c>
      <c r="V22" s="9">
        <f>IF(OR(B22="",T22="Y"),"",1+SUMPRODUCT(((U$3:U$32&gt;U22)+((U$3:U$32=U22)*(ROW(U$3:U$32)&lt;22)))*(T$3:T$32&lt;&gt;"Y")*(B$3:B$32&lt;&gt;"")))</f>
        <v/>
      </c>
      <c r="W22" s="6" t="inlineStr">
        <is>
          <t>YTU Control &amp; Automation; YTU Racing VCU team (Vehicle Control Unit support).</t>
        </is>
      </c>
      <c r="X22" s="10">
        <f>IFERROR(VLOOKUP(VLOOKUP(C22,Uni_Tiers!$A$2:$B$24,2,FALSE()),Uni_Tiers!$E$2:$F$6,2,FALSE()),IF(C22="",1,2))</f>
        <v/>
      </c>
      <c r="Y22" s="10">
        <f>IFERROR(VLOOKUP(D22,Dept_Fit!$A$2:$B$15,2,FALSE()),1)</f>
        <v/>
      </c>
      <c r="Z22" s="10">
        <f>IF(F22="",1,IF(F22&gt;=3.5,5,IF(F22&gt;=3,4,IF(F22&gt;=2.5,3,IF(F22&gt;=2,2,1)))))</f>
        <v/>
      </c>
      <c r="AA22" s="10">
        <f>IFERROR(VLOOKUP(E22,Status_Map!$A$2:$B$9,2,FALSE()),1)</f>
        <v/>
      </c>
      <c r="AB22" s="10">
        <f>IFERROR(VLOOKUP(G22,Teknofest_Map!$A$2:$B$6,2,FALSE()),1)</f>
        <v/>
      </c>
      <c r="AC22" s="10">
        <f>IFERROR(AVERAGE(O22,P22,Q22,R22,S22),0)</f>
        <v/>
      </c>
      <c r="AD22" s="10">
        <f>IF(T22="Y",ROW()-2,"")</f>
        <v/>
      </c>
    </row>
    <row r="23" ht="15.75" customHeight="1" s="31">
      <c r="A23" s="5" t="n">
        <v>21</v>
      </c>
      <c r="B23" s="6" t="inlineStr">
        <is>
          <t>Onur Can Sarı</t>
        </is>
      </c>
      <c r="C23" s="6" t="inlineStr">
        <is>
          <t>Other</t>
        </is>
      </c>
      <c r="D23" s="6" t="inlineStr">
        <is>
          <t>Computer Engineering</t>
        </is>
      </c>
      <c r="E23" s="7" t="inlineStr">
        <is>
          <t>3rd year</t>
        </is>
      </c>
      <c r="F23" s="7" t="n"/>
      <c r="G23" s="7" t="inlineStr">
        <is>
          <t>Podium / finals</t>
        </is>
      </c>
      <c r="H23" s="7" t="n">
        <v>5</v>
      </c>
      <c r="I23" s="7" t="n">
        <v>5</v>
      </c>
      <c r="J23" s="7" t="n">
        <v>5</v>
      </c>
      <c r="K23" s="7" t="n">
        <v>4</v>
      </c>
      <c r="L23" s="7" t="n">
        <v>4</v>
      </c>
      <c r="M23" s="7" t="n">
        <v>3</v>
      </c>
      <c r="N23" s="7" t="n"/>
      <c r="O23" s="7" t="n"/>
      <c r="P23" s="7" t="n"/>
      <c r="Q23" s="7" t="n"/>
      <c r="R23" s="7" t="n"/>
      <c r="S23" s="7" t="n"/>
      <c r="T23" s="7" t="inlineStr">
        <is>
          <t>N</t>
        </is>
      </c>
      <c r="U23" s="8">
        <f>IF(B23="","",(X23*Weights!$B$2+Y23*Weights!$B$3+Z23*Weights!$B$4+AA23*Weights!$B$5+AB23*Weights!$B$6+H23*Weights!$B$7+I23*Weights!$B$8+J23*Weights!$B$9+K23*Weights!$B$10+L23*Weights!$B$11+M23*Weights!$B$12+N23*Weights!$B$13+AC23*Weights!$B$14)/5)</f>
        <v/>
      </c>
      <c r="V23" s="9">
        <f>IF(OR(B23="",T23="Y"),"",1+SUMPRODUCT(((U$3:U$32&gt;U23)+((U$3:U$32=U23)*(ROW(U$3:U$32)&lt;23)))*(T$3:T$32&lt;&gt;"Y")*(B$3:B$32&lt;&gt;"")))</f>
        <v/>
      </c>
      <c r="W23" s="6" t="inlineStr">
        <is>
          <t>Fırat Üni Bilgisayar Müh 3. sınıf. Markas Teknoloji (ROKETSAN sub) embedded software engineer; Ayyıldız air defense team. Teknofest Roket 'En İyi Takım' award. Very strong real-project record.</t>
        </is>
      </c>
      <c r="X23" s="10">
        <f>IFERROR(VLOOKUP(VLOOKUP(C23,Uni_Tiers!$A$2:$B$24,2,FALSE()),Uni_Tiers!$E$2:$F$6,2,FALSE()),IF(C23="",1,2))</f>
        <v/>
      </c>
      <c r="Y23" s="10">
        <f>IFERROR(VLOOKUP(D23,Dept_Fit!$A$2:$B$15,2,FALSE()),1)</f>
        <v/>
      </c>
      <c r="Z23" s="10">
        <f>IF(F23="",1,IF(F23&gt;=3.5,5,IF(F23&gt;=3,4,IF(F23&gt;=2.5,3,IF(F23&gt;=2,2,1)))))</f>
        <v/>
      </c>
      <c r="AA23" s="10">
        <f>IFERROR(VLOOKUP(E23,Status_Map!$A$2:$B$9,2,FALSE()),1)</f>
        <v/>
      </c>
      <c r="AB23" s="10">
        <f>IFERROR(VLOOKUP(G23,Teknofest_Map!$A$2:$B$6,2,FALSE()),1)</f>
        <v/>
      </c>
      <c r="AC23" s="10">
        <f>IFERROR(AVERAGE(O23,P23,Q23,R23,S23),0)</f>
        <v/>
      </c>
      <c r="AD23" s="10">
        <f>IF(T23="Y",ROW()-2,"")</f>
        <v/>
      </c>
    </row>
    <row r="24" ht="15.75" customHeight="1" s="31">
      <c r="A24" s="5" t="n">
        <v>22</v>
      </c>
      <c r="B24" s="6" t="inlineStr">
        <is>
          <t>Ruba Almadi</t>
        </is>
      </c>
      <c r="C24" s="6" t="inlineStr">
        <is>
          <t>ITU</t>
        </is>
      </c>
      <c r="D24" s="6" t="inlineStr">
        <is>
          <t>Control Engineering</t>
        </is>
      </c>
      <c r="E24" s="7" t="inlineStr">
        <is>
          <t>3rd year</t>
        </is>
      </c>
      <c r="F24" s="7" t="n"/>
      <c r="G24" s="7" t="inlineStr">
        <is>
          <t>Podium / finals</t>
        </is>
      </c>
      <c r="H24" s="7" t="n">
        <v>4</v>
      </c>
      <c r="I24" s="7" t="n">
        <v>3</v>
      </c>
      <c r="J24" s="7" t="n">
        <v>2</v>
      </c>
      <c r="K24" s="7" t="n">
        <v>4</v>
      </c>
      <c r="L24" s="7" t="n">
        <v>2</v>
      </c>
      <c r="M24" s="7" t="n">
        <v>3</v>
      </c>
      <c r="N24" s="7" t="n"/>
      <c r="O24" s="7" t="n"/>
      <c r="P24" s="7" t="n"/>
      <c r="Q24" s="7" t="n"/>
      <c r="R24" s="7" t="n"/>
      <c r="S24" s="7" t="n"/>
      <c r="T24" s="7" t="inlineStr">
        <is>
          <t>N</t>
        </is>
      </c>
      <c r="U24" s="8">
        <f>IF(B24="","",(X24*Weights!$B$2+Y24*Weights!$B$3+Z24*Weights!$B$4+AA24*Weights!$B$5+AB24*Weights!$B$6+H24*Weights!$B$7+I24*Weights!$B$8+J24*Weights!$B$9+K24*Weights!$B$10+L24*Weights!$B$11+M24*Weights!$B$12+N24*Weights!$B$13+AC24*Weights!$B$14)/5)</f>
        <v/>
      </c>
      <c r="V24" s="9">
        <f>IF(OR(B24="",T24="Y"),"",1+SUMPRODUCT(((U$3:U$32&gt;U24)+((U$3:U$32=U24)*(ROW(U$3:U$32)&lt;24)))*(T$3:T$32&lt;&gt;"Y")*(B$3:B$32&lt;&gt;"")))</f>
        <v/>
      </c>
      <c r="W24" s="6" t="inlineStr">
        <is>
          <t>ITU Control &amp; Automation, 3rd year (started Sep 2023). Teknofest 2024 2nd place + Steel award; Hyperloop team (3× 1st place internationally).</t>
        </is>
      </c>
      <c r="X24" s="10">
        <f>IFERROR(VLOOKUP(VLOOKUP(C24,Uni_Tiers!$A$2:$B$24,2,FALSE()),Uni_Tiers!$E$2:$F$6,2,FALSE()),IF(C24="",1,2))</f>
        <v/>
      </c>
      <c r="Y24" s="10">
        <f>IFERROR(VLOOKUP(D24,Dept_Fit!$A$2:$B$15,2,FALSE()),1)</f>
        <v/>
      </c>
      <c r="Z24" s="10">
        <f>IF(F24="",1,IF(F24&gt;=3.5,5,IF(F24&gt;=3,4,IF(F24&gt;=2.5,3,IF(F24&gt;=2,2,1)))))</f>
        <v/>
      </c>
      <c r="AA24" s="10">
        <f>IFERROR(VLOOKUP(E24,Status_Map!$A$2:$B$9,2,FALSE()),1)</f>
        <v/>
      </c>
      <c r="AB24" s="10">
        <f>IFERROR(VLOOKUP(G24,Teknofest_Map!$A$2:$B$6,2,FALSE()),1)</f>
        <v/>
      </c>
      <c r="AC24" s="10">
        <f>IFERROR(AVERAGE(O24,P24,Q24,R24,S24),0)</f>
        <v/>
      </c>
      <c r="AD24" s="10">
        <f>IF(T24="Y",ROW()-2,"")</f>
        <v/>
      </c>
    </row>
    <row r="25" ht="15.75" customHeight="1" s="31">
      <c r="A25" s="5" t="n">
        <v>23</v>
      </c>
      <c r="B25" s="6" t="inlineStr">
        <is>
          <t>Rüveyda Dilara Gülbaş</t>
        </is>
      </c>
      <c r="C25" s="6" t="inlineStr">
        <is>
          <t>Atılım</t>
        </is>
      </c>
      <c r="D25" s="6" t="inlineStr">
        <is>
          <t>Computer Engineering</t>
        </is>
      </c>
      <c r="E25" s="7" t="inlineStr">
        <is>
          <t>Fresh graduate (&lt;1 yr)</t>
        </is>
      </c>
      <c r="F25" s="7" t="n">
        <v>3.25</v>
      </c>
      <c r="G25" s="7" t="inlineStr">
        <is>
          <t>Podium / finals</t>
        </is>
      </c>
      <c r="H25" s="7" t="n">
        <v>5</v>
      </c>
      <c r="I25" s="7" t="n">
        <v>5</v>
      </c>
      <c r="J25" s="7" t="n">
        <v>3</v>
      </c>
      <c r="K25" s="7" t="n">
        <v>5</v>
      </c>
      <c r="L25" s="7" t="n">
        <v>4</v>
      </c>
      <c r="M25" s="7" t="n">
        <v>3</v>
      </c>
      <c r="N25" s="7" t="n"/>
      <c r="O25" s="7" t="n"/>
      <c r="P25" s="7" t="n"/>
      <c r="Q25" s="7" t="n"/>
      <c r="R25" s="7" t="n"/>
      <c r="S25" s="7" t="n"/>
      <c r="T25" s="7" t="inlineStr">
        <is>
          <t>N</t>
        </is>
      </c>
      <c r="U25" s="8">
        <f>IF(B25="","",(X25*Weights!$B$2+Y25*Weights!$B$3+Z25*Weights!$B$4+AA25*Weights!$B$5+AB25*Weights!$B$6+H25*Weights!$B$7+I25*Weights!$B$8+J25*Weights!$B$9+K25*Weights!$B$10+L25*Weights!$B$11+M25*Weights!$B$12+N25*Weights!$B$13+AC25*Weights!$B$14)/5)</f>
        <v/>
      </c>
      <c r="V25" s="9">
        <f>IF(OR(B25="",T25="Y"),"",1+SUMPRODUCT(((U$3:U$32&gt;U25)+((U$3:U$32=U25)*(ROW(U$3:U$32)&lt;25)))*(T$3:T$32&lt;&gt;"Y")*(B$3:B$32&lt;&gt;"")))</f>
        <v/>
      </c>
      <c r="W25" s="6" t="inlineStr">
        <is>
          <t>GNO 3.25/4. Teknofest 2024 Finalist – Tarımsal İKA (Unmanned Land Vehicle) Yarışması. Computer vision focus (YOLOv8/v10, DETR).</t>
        </is>
      </c>
      <c r="X25" s="10">
        <f>IFERROR(VLOOKUP(VLOOKUP(C25,Uni_Tiers!$A$2:$B$24,2,FALSE()),Uni_Tiers!$E$2:$F$6,2,FALSE()),IF(C25="",1,2))</f>
        <v/>
      </c>
      <c r="Y25" s="10">
        <f>IFERROR(VLOOKUP(D25,Dept_Fit!$A$2:$B$15,2,FALSE()),1)</f>
        <v/>
      </c>
      <c r="Z25" s="10">
        <f>IF(F25="",1,IF(F25&gt;=3.5,5,IF(F25&gt;=3,4,IF(F25&gt;=2.5,3,IF(F25&gt;=2,2,1)))))</f>
        <v/>
      </c>
      <c r="AA25" s="10">
        <f>IFERROR(VLOOKUP(E25,Status_Map!$A$2:$B$9,2,FALSE()),1)</f>
        <v/>
      </c>
      <c r="AB25" s="10">
        <f>IFERROR(VLOOKUP(G25,Teknofest_Map!$A$2:$B$6,2,FALSE()),1)</f>
        <v/>
      </c>
      <c r="AC25" s="10">
        <f>IFERROR(AVERAGE(O25,P25,Q25,R25,S25),0)</f>
        <v/>
      </c>
      <c r="AD25" s="10">
        <f>IF(T25="Y",ROW()-2,"")</f>
        <v/>
      </c>
    </row>
    <row r="26" ht="15.75" customHeight="1" s="31">
      <c r="A26" s="5" t="n">
        <v>24</v>
      </c>
      <c r="B26" s="6" t="inlineStr">
        <is>
          <t>Samet Atak</t>
        </is>
      </c>
      <c r="C26" s="6" t="inlineStr">
        <is>
          <t>ITU</t>
        </is>
      </c>
      <c r="D26" s="6" t="inlineStr">
        <is>
          <t>Control Engineering</t>
        </is>
      </c>
      <c r="E26" s="7" t="inlineStr">
        <is>
          <t>4th year</t>
        </is>
      </c>
      <c r="F26" s="7" t="n"/>
      <c r="G26" s="7" t="inlineStr">
        <is>
          <t>Podium / finals</t>
        </is>
      </c>
      <c r="H26" s="7" t="n">
        <v>3</v>
      </c>
      <c r="I26" s="7" t="n">
        <v>2</v>
      </c>
      <c r="J26" s="7" t="n">
        <v>1</v>
      </c>
      <c r="K26" s="7" t="n">
        <v>4</v>
      </c>
      <c r="L26" s="7" t="n">
        <v>1</v>
      </c>
      <c r="M26" s="7" t="n">
        <v>5</v>
      </c>
      <c r="N26" s="7" t="n"/>
      <c r="O26" s="7" t="n"/>
      <c r="P26" s="7" t="n"/>
      <c r="Q26" s="7" t="n"/>
      <c r="R26" s="7" t="n"/>
      <c r="S26" s="7" t="n"/>
      <c r="T26" s="7" t="inlineStr">
        <is>
          <t>N</t>
        </is>
      </c>
      <c r="U26" s="8">
        <f>IF(B26="","",(X26*Weights!$B$2+Y26*Weights!$B$3+Z26*Weights!$B$4+AA26*Weights!$B$5+AB26*Weights!$B$6+H26*Weights!$B$7+I26*Weights!$B$8+J26*Weights!$B$9+K26*Weights!$B$10+L26*Weights!$B$11+M26*Weights!$B$12+N26*Weights!$B$13+AC26*Weights!$B$14)/5)</f>
        <v/>
      </c>
      <c r="V26" s="9">
        <f>IF(OR(B26="",T26="Y"),"",1+SUMPRODUCT(((U$3:U$32&gt;U26)+((U$3:U$32=U26)*(ROW(U$3:U$32)&lt;26)))*(T$3:T$32&lt;&gt;"Y")*(B$3:B$32&lt;&gt;"")))</f>
        <v/>
      </c>
      <c r="W26" s="6" t="inlineStr">
        <is>
          <t>ITU Control &amp; Automation 2022-; Erasmus at U. of Kassel; Yıldız Teknopark Machine ArGe. Finalist Teknofest TIKA Competition.</t>
        </is>
      </c>
      <c r="X26" s="10">
        <f>IFERROR(VLOOKUP(VLOOKUP(C26,Uni_Tiers!$A$2:$B$24,2,FALSE()),Uni_Tiers!$E$2:$F$6,2,FALSE()),IF(C26="",1,2))</f>
        <v/>
      </c>
      <c r="Y26" s="10">
        <f>IFERROR(VLOOKUP(D26,Dept_Fit!$A$2:$B$15,2,FALSE()),1)</f>
        <v/>
      </c>
      <c r="Z26" s="10">
        <f>IF(F26="",1,IF(F26&gt;=3.5,5,IF(F26&gt;=3,4,IF(F26&gt;=2.5,3,IF(F26&gt;=2,2,1)))))</f>
        <v/>
      </c>
      <c r="AA26" s="10">
        <f>IFERROR(VLOOKUP(E26,Status_Map!$A$2:$B$9,2,FALSE()),1)</f>
        <v/>
      </c>
      <c r="AB26" s="10">
        <f>IFERROR(VLOOKUP(G26,Teknofest_Map!$A$2:$B$6,2,FALSE()),1)</f>
        <v/>
      </c>
      <c r="AC26" s="10">
        <f>IFERROR(AVERAGE(O26,P26,Q26,R26,S26),0)</f>
        <v/>
      </c>
      <c r="AD26" s="10">
        <f>IF(T26="Y",ROW()-2,"")</f>
        <v/>
      </c>
    </row>
    <row r="27" ht="15.75" customHeight="1" s="31">
      <c r="A27" s="5" t="n">
        <v>25</v>
      </c>
      <c r="B27" s="6" t="inlineStr">
        <is>
          <t>Sefa Demirtürk</t>
        </is>
      </c>
      <c r="C27" s="6" t="inlineStr">
        <is>
          <t>Other</t>
        </is>
      </c>
      <c r="D27" s="6" t="inlineStr">
        <is>
          <t>Other</t>
        </is>
      </c>
      <c r="E27" s="7" t="inlineStr">
        <is>
          <t>Fresh graduate (&lt;1 yr)</t>
        </is>
      </c>
      <c r="F27" s="7" t="n"/>
      <c r="G27" s="7" t="inlineStr">
        <is>
          <t>Participated once</t>
        </is>
      </c>
      <c r="H27" s="7" t="n">
        <v>2</v>
      </c>
      <c r="I27" s="7" t="n">
        <v>2</v>
      </c>
      <c r="J27" s="7" t="n">
        <v>1</v>
      </c>
      <c r="K27" s="7" t="n">
        <v>3</v>
      </c>
      <c r="L27" s="7" t="n">
        <v>4</v>
      </c>
      <c r="M27" s="7" t="n">
        <v>3</v>
      </c>
      <c r="N27" s="7" t="n"/>
      <c r="O27" s="7" t="n"/>
      <c r="P27" s="7" t="n"/>
      <c r="Q27" s="7" t="n"/>
      <c r="R27" s="7" t="n"/>
      <c r="S27" s="7" t="n"/>
      <c r="T27" s="7" t="inlineStr">
        <is>
          <t>N</t>
        </is>
      </c>
      <c r="U27" s="8">
        <f>IF(B27="","",(X27*Weights!$B$2+Y27*Weights!$B$3+Z27*Weights!$B$4+AA27*Weights!$B$5+AB27*Weights!$B$6+H27*Weights!$B$7+I27*Weights!$B$8+J27*Weights!$B$9+K27*Weights!$B$10+L27*Weights!$B$11+M27*Weights!$B$12+N27*Weights!$B$13+AC27*Weights!$B$14)/5)</f>
        <v/>
      </c>
      <c r="V27" s="9">
        <f>IF(OR(B27="",T27="Y"),"",1+SUMPRODUCT(((U$3:U$32&gt;U27)+((U$3:U$32=U27)*(ROW(U$3:U$32)&lt;27)))*(T$3:T$32&lt;&gt;"Y")*(B$3:B$32&lt;&gt;"")))</f>
        <v/>
      </c>
      <c r="W27" s="6" t="inlineStr">
        <is>
          <t>Gebze Technical University 2019-2026. ML/CV (OpenCV, YOLOv5, Pandas). Teknofest 2021 Autonomous Marine Cleaning Vehicle.</t>
        </is>
      </c>
      <c r="X27" s="10">
        <f>IFERROR(VLOOKUP(VLOOKUP(C27,Uni_Tiers!$A$2:$B$24,2,FALSE()),Uni_Tiers!$E$2:$F$6,2,FALSE()),IF(C27="",1,2))</f>
        <v/>
      </c>
      <c r="Y27" s="10">
        <f>IFERROR(VLOOKUP(D27,Dept_Fit!$A$2:$B$15,2,FALSE()),1)</f>
        <v/>
      </c>
      <c r="Z27" s="10">
        <f>IF(F27="",1,IF(F27&gt;=3.5,5,IF(F27&gt;=3,4,IF(F27&gt;=2.5,3,IF(F27&gt;=2,2,1)))))</f>
        <v/>
      </c>
      <c r="AA27" s="10">
        <f>IFERROR(VLOOKUP(E27,Status_Map!$A$2:$B$9,2,FALSE()),1)</f>
        <v/>
      </c>
      <c r="AB27" s="10">
        <f>IFERROR(VLOOKUP(G27,Teknofest_Map!$A$2:$B$6,2,FALSE()),1)</f>
        <v/>
      </c>
      <c r="AC27" s="10">
        <f>IFERROR(AVERAGE(O27,P27,Q27,R27,S27),0)</f>
        <v/>
      </c>
      <c r="AD27" s="10">
        <f>IF(T27="Y",ROW()-2,"")</f>
        <v/>
      </c>
    </row>
    <row r="28" ht="15.75" customHeight="1" s="31">
      <c r="A28" s="5" t="n">
        <v>26</v>
      </c>
      <c r="B28" s="6" t="inlineStr">
        <is>
          <t>Servet Haras</t>
        </is>
      </c>
      <c r="C28" s="6" t="inlineStr">
        <is>
          <t>Other</t>
        </is>
      </c>
      <c r="D28" s="6" t="inlineStr">
        <is>
          <t>Electrical &amp; Electronics Engineering</t>
        </is>
      </c>
      <c r="E28" s="7" t="inlineStr">
        <is>
          <t>3rd year</t>
        </is>
      </c>
      <c r="F28" s="7" t="n">
        <v>3.91</v>
      </c>
      <c r="G28" s="7" t="inlineStr">
        <is>
          <t>Participated once</t>
        </is>
      </c>
      <c r="H28" s="7" t="n">
        <v>3</v>
      </c>
      <c r="I28" s="7" t="n">
        <v>4</v>
      </c>
      <c r="J28" s="7" t="n">
        <v>3</v>
      </c>
      <c r="K28" s="7" t="n">
        <v>4</v>
      </c>
      <c r="L28" s="7" t="n">
        <v>2</v>
      </c>
      <c r="M28" s="7" t="n">
        <v>4</v>
      </c>
      <c r="N28" s="7" t="n"/>
      <c r="O28" s="7" t="n"/>
      <c r="P28" s="7" t="n"/>
      <c r="Q28" s="7" t="n"/>
      <c r="R28" s="7" t="n"/>
      <c r="S28" s="7" t="n"/>
      <c r="T28" s="7" t="inlineStr">
        <is>
          <t>N</t>
        </is>
      </c>
      <c r="U28" s="8">
        <f>IF(B28="","",(X28*Weights!$B$2+Y28*Weights!$B$3+Z28*Weights!$B$4+AA28*Weights!$B$5+AB28*Weights!$B$6+H28*Weights!$B$7+I28*Weights!$B$8+J28*Weights!$B$9+K28*Weights!$B$10+L28*Weights!$B$11+M28*Weights!$B$12+N28*Weights!$B$13+AC28*Weights!$B$14)/5)</f>
        <v/>
      </c>
      <c r="V28" s="9">
        <f>IF(OR(B28="",T28="Y"),"",1+SUMPRODUCT(((U$3:U$32&gt;U28)+((U$3:U$32=U28)*(ROW(U$3:U$32)&lt;28)))*(T$3:T$32&lt;&gt;"Y")*(B$3:B$32&lt;&gt;"")))</f>
        <v/>
      </c>
      <c r="W28" s="6" t="inlineStr">
        <is>
          <t>Kadir Has Üni EEE 3. sınıf, GPA 3.91 (full scholarship). Teknofest Otonom Robotaksi BMS / battery design.</t>
        </is>
      </c>
      <c r="X28" s="10">
        <f>IFERROR(VLOOKUP(VLOOKUP(C28,Uni_Tiers!$A$2:$B$24,2,FALSE()),Uni_Tiers!$E$2:$F$6,2,FALSE()),IF(C28="",1,2))</f>
        <v/>
      </c>
      <c r="Y28" s="10">
        <f>IFERROR(VLOOKUP(D28,Dept_Fit!$A$2:$B$15,2,FALSE()),1)</f>
        <v/>
      </c>
      <c r="Z28" s="10">
        <f>IF(F28="",1,IF(F28&gt;=3.5,5,IF(F28&gt;=3,4,IF(F28&gt;=2.5,3,IF(F28&gt;=2,2,1)))))</f>
        <v/>
      </c>
      <c r="AA28" s="10">
        <f>IFERROR(VLOOKUP(E28,Status_Map!$A$2:$B$9,2,FALSE()),1)</f>
        <v/>
      </c>
      <c r="AB28" s="10">
        <f>IFERROR(VLOOKUP(G28,Teknofest_Map!$A$2:$B$6,2,FALSE()),1)</f>
        <v/>
      </c>
      <c r="AC28" s="10">
        <f>IFERROR(AVERAGE(O28,P28,Q28,R28,S28),0)</f>
        <v/>
      </c>
      <c r="AD28" s="10">
        <f>IF(T28="Y",ROW()-2,"")</f>
        <v/>
      </c>
    </row>
    <row r="29" ht="15.75" customHeight="1" s="31">
      <c r="A29" s="5" t="n">
        <v>27</v>
      </c>
      <c r="B29" s="6" t="inlineStr">
        <is>
          <t>Simar Bayramusta</t>
        </is>
      </c>
      <c r="C29" s="6" t="inlineStr">
        <is>
          <t>Other</t>
        </is>
      </c>
      <c r="D29" s="6" t="inlineStr">
        <is>
          <t>Other</t>
        </is>
      </c>
      <c r="E29" s="7" t="n"/>
      <c r="F29" s="7" t="n"/>
      <c r="G29" s="7" t="inlineStr">
        <is>
          <t>None</t>
        </is>
      </c>
      <c r="H29" s="7" t="n">
        <v>1</v>
      </c>
      <c r="I29" s="7" t="n">
        <v>2</v>
      </c>
      <c r="J29" s="7" t="n">
        <v>1</v>
      </c>
      <c r="K29" s="7" t="n">
        <v>1</v>
      </c>
      <c r="L29" s="7" t="n">
        <v>1</v>
      </c>
      <c r="M29" s="7" t="n">
        <v>3</v>
      </c>
      <c r="N29" s="7" t="n"/>
      <c r="O29" s="7" t="n"/>
      <c r="P29" s="7" t="n"/>
      <c r="Q29" s="7" t="n"/>
      <c r="R29" s="7" t="n"/>
      <c r="S29" s="7" t="n"/>
      <c r="T29" s="7" t="inlineStr">
        <is>
          <t>N</t>
        </is>
      </c>
      <c r="U29" s="8">
        <f>IF(B29="","",(X29*Weights!$B$2+Y29*Weights!$B$3+Z29*Weights!$B$4+AA29*Weights!$B$5+AB29*Weights!$B$6+H29*Weights!$B$7+I29*Weights!$B$8+J29*Weights!$B$9+K29*Weights!$B$10+L29*Weights!$B$11+M29*Weights!$B$12+N29*Weights!$B$13+AC29*Weights!$B$14)/5)</f>
        <v/>
      </c>
      <c r="V29" s="9">
        <f>IF(OR(B29="",T29="Y"),"",1+SUMPRODUCT(((U$3:U$32&gt;U29)+((U$3:U$32=U29)*(ROW(U$3:U$32)&lt;29)))*(T$3:T$32&lt;&gt;"Y")*(B$3:B$32&lt;&gt;"")))</f>
        <v/>
      </c>
      <c r="W29" s="6" t="inlineStr">
        <is>
          <t>PDF appears image-only — text extraction yielded almost nothing. Re-OCR required before scoring. All numeric scores left at default heuristic (1) for now.</t>
        </is>
      </c>
      <c r="X29" s="10">
        <f>IFERROR(VLOOKUP(VLOOKUP(C29,Uni_Tiers!$A$2:$B$24,2,FALSE()),Uni_Tiers!$E$2:$F$6,2,FALSE()),IF(C29="",1,2))</f>
        <v/>
      </c>
      <c r="Y29" s="10">
        <f>IFERROR(VLOOKUP(D29,Dept_Fit!$A$2:$B$15,2,FALSE()),1)</f>
        <v/>
      </c>
      <c r="Z29" s="10">
        <f>IF(F29="",1,IF(F29&gt;=3.5,5,IF(F29&gt;=3,4,IF(F29&gt;=2.5,3,IF(F29&gt;=2,2,1)))))</f>
        <v/>
      </c>
      <c r="AA29" s="10">
        <f>IFERROR(VLOOKUP(E29,Status_Map!$A$2:$B$9,2,FALSE()),1)</f>
        <v/>
      </c>
      <c r="AB29" s="10">
        <f>IFERROR(VLOOKUP(G29,Teknofest_Map!$A$2:$B$6,2,FALSE()),1)</f>
        <v/>
      </c>
      <c r="AC29" s="10">
        <f>IFERROR(AVERAGE(O29,P29,Q29,R29,S29),0)</f>
        <v/>
      </c>
      <c r="AD29" s="10">
        <f>IF(T29="Y",ROW()-2,"")</f>
        <v/>
      </c>
    </row>
    <row r="30" ht="15.75" customHeight="1" s="31">
      <c r="A30" s="5" t="n">
        <v>28</v>
      </c>
      <c r="B30" s="6" t="inlineStr">
        <is>
          <t>Tasneem Mustafa</t>
        </is>
      </c>
      <c r="C30" s="6" t="inlineStr">
        <is>
          <t>ITU</t>
        </is>
      </c>
      <c r="D30" s="6" t="inlineStr">
        <is>
          <t>Control Engineering</t>
        </is>
      </c>
      <c r="E30" s="7" t="inlineStr">
        <is>
          <t>3rd year</t>
        </is>
      </c>
      <c r="F30" s="7" t="n"/>
      <c r="G30" s="7" t="inlineStr">
        <is>
          <t>Podium / finals</t>
        </is>
      </c>
      <c r="H30" s="7" t="n">
        <v>5</v>
      </c>
      <c r="I30" s="7" t="n">
        <v>2</v>
      </c>
      <c r="J30" s="7" t="n">
        <v>1</v>
      </c>
      <c r="K30" s="7" t="n">
        <v>5</v>
      </c>
      <c r="L30" s="7" t="n">
        <v>4</v>
      </c>
      <c r="M30" s="7" t="n">
        <v>3</v>
      </c>
      <c r="N30" s="7" t="n"/>
      <c r="O30" s="7" t="n"/>
      <c r="P30" s="7" t="n"/>
      <c r="Q30" s="7" t="n"/>
      <c r="R30" s="7" t="n"/>
      <c r="S30" s="7" t="n"/>
      <c r="T30" s="7" t="inlineStr">
        <is>
          <t>N</t>
        </is>
      </c>
      <c r="U30" s="8">
        <f>IF(B30="","",(X30*Weights!$B$2+Y30*Weights!$B$3+Z30*Weights!$B$4+AA30*Weights!$B$5+AB30*Weights!$B$6+H30*Weights!$B$7+I30*Weights!$B$8+J30*Weights!$B$9+K30*Weights!$B$10+L30*Weights!$B$11+M30*Weights!$B$12+N30*Weights!$B$13+AC30*Weights!$B$14)/5)</f>
        <v/>
      </c>
      <c r="V30" s="9">
        <f>IF(OR(B30="",T30="Y"),"",1+SUMPRODUCT(((U$3:U$32&gt;U30)+((U$3:U$32=U30)*(ROW(U$3:U$32)&lt;30)))*(T$3:T$32&lt;&gt;"Y")*(B$3:B$32&lt;&gt;"")))</f>
        <v/>
      </c>
      <c r="W30" s="6" t="inlineStr">
        <is>
          <t>ITU Control &amp; Automation Sep 2023-present; BAYKAR intern (Autopilot &amp; Intelligent Systems Software, Jun 2026-). XENOS Robotaksi Teknofest Finalist 2024-25; MATLAB MiniDrone Finalist.</t>
        </is>
      </c>
      <c r="X30" s="10">
        <f>IFERROR(VLOOKUP(VLOOKUP(C30,Uni_Tiers!$A$2:$B$24,2,FALSE()),Uni_Tiers!$E$2:$F$6,2,FALSE()),IF(C30="",1,2))</f>
        <v/>
      </c>
      <c r="Y30" s="10">
        <f>IFERROR(VLOOKUP(D30,Dept_Fit!$A$2:$B$15,2,FALSE()),1)</f>
        <v/>
      </c>
      <c r="Z30" s="10">
        <f>IF(F30="",1,IF(F30&gt;=3.5,5,IF(F30&gt;=3,4,IF(F30&gt;=2.5,3,IF(F30&gt;=2,2,1)))))</f>
        <v/>
      </c>
      <c r="AA30" s="10">
        <f>IFERROR(VLOOKUP(E30,Status_Map!$A$2:$B$9,2,FALSE()),1)</f>
        <v/>
      </c>
      <c r="AB30" s="10">
        <f>IFERROR(VLOOKUP(G30,Teknofest_Map!$A$2:$B$6,2,FALSE()),1)</f>
        <v/>
      </c>
      <c r="AC30" s="10">
        <f>IFERROR(AVERAGE(O30,P30,Q30,R30,S30),0)</f>
        <v/>
      </c>
      <c r="AD30" s="10">
        <f>IF(T30="Y",ROW()-2,"")</f>
        <v/>
      </c>
    </row>
    <row r="31" ht="15.75" customHeight="1" s="31">
      <c r="A31" s="5" t="n">
        <v>29</v>
      </c>
      <c r="B31" s="6" t="inlineStr">
        <is>
          <t>Yehya Elnoti</t>
        </is>
      </c>
      <c r="C31" s="6" t="inlineStr">
        <is>
          <t>Other</t>
        </is>
      </c>
      <c r="D31" s="6" t="inlineStr">
        <is>
          <t>Aerospace Engineering</t>
        </is>
      </c>
      <c r="E31" s="7" t="inlineStr">
        <is>
          <t>3rd year</t>
        </is>
      </c>
      <c r="F31" s="7" t="n">
        <v>2.61</v>
      </c>
      <c r="G31" s="7" t="inlineStr">
        <is>
          <t>Podium / finals</t>
        </is>
      </c>
      <c r="H31" s="7" t="n">
        <v>5</v>
      </c>
      <c r="I31" s="7" t="n">
        <v>4</v>
      </c>
      <c r="J31" s="7" t="n">
        <v>4</v>
      </c>
      <c r="K31" s="7" t="n">
        <v>5</v>
      </c>
      <c r="L31" s="7" t="n">
        <v>5</v>
      </c>
      <c r="M31" s="7" t="n">
        <v>5</v>
      </c>
      <c r="N31" s="7" t="n"/>
      <c r="O31" s="7" t="n"/>
      <c r="P31" s="7" t="n"/>
      <c r="Q31" s="7" t="n"/>
      <c r="R31" s="7" t="n"/>
      <c r="S31" s="7" t="n"/>
      <c r="T31" s="7" t="inlineStr">
        <is>
          <t>N</t>
        </is>
      </c>
      <c r="U31" s="8">
        <f>IF(B31="","",(X31*Weights!$B$2+Y31*Weights!$B$3+Z31*Weights!$B$4+AA31*Weights!$B$5+AB31*Weights!$B$6+H31*Weights!$B$7+I31*Weights!$B$8+J31*Weights!$B$9+K31*Weights!$B$10+L31*Weights!$B$11+M31*Weights!$B$12+N31*Weights!$B$13+AC31*Weights!$B$14)/5)</f>
        <v/>
      </c>
      <c r="V31" s="9">
        <f>IF(OR(B31="",T31="Y"),"",1+SUMPRODUCT(((U$3:U$32&gt;U31)+((U$3:U$32=U31)*(ROW(U$3:U$32)&lt;31)))*(T$3:T$32&lt;&gt;"Y")*(B$3:B$32&lt;&gt;"")))</f>
        <v/>
      </c>
      <c r="W31" s="6" t="inlineStr">
        <is>
          <t>Istanbul Aydın Üni Aerospace 3rd year, GPA 2.61. Teknofest Fighter UAV 2025 JETDOSE team lead (9 members) – finals.</t>
        </is>
      </c>
      <c r="X31" s="10">
        <f>IFERROR(VLOOKUP(VLOOKUP(C31,Uni_Tiers!$A$2:$B$24,2,FALSE()),Uni_Tiers!$E$2:$F$6,2,FALSE()),IF(C31="",1,2))</f>
        <v/>
      </c>
      <c r="Y31" s="10">
        <f>IFERROR(VLOOKUP(D31,Dept_Fit!$A$2:$B$15,2,FALSE()),1)</f>
        <v/>
      </c>
      <c r="Z31" s="10">
        <f>IF(F31="",1,IF(F31&gt;=3.5,5,IF(F31&gt;=3,4,IF(F31&gt;=2.5,3,IF(F31&gt;=2,2,1)))))</f>
        <v/>
      </c>
      <c r="AA31" s="10">
        <f>IFERROR(VLOOKUP(E31,Status_Map!$A$2:$B$9,2,FALSE()),1)</f>
        <v/>
      </c>
      <c r="AB31" s="10">
        <f>IFERROR(VLOOKUP(G31,Teknofest_Map!$A$2:$B$6,2,FALSE()),1)</f>
        <v/>
      </c>
      <c r="AC31" s="10">
        <f>IFERROR(AVERAGE(O31,P31,Q31,R31,S31),0)</f>
        <v/>
      </c>
      <c r="AD31" s="10">
        <f>IF(T31="Y",ROW()-2,"")</f>
        <v/>
      </c>
    </row>
    <row r="32" ht="15.75" customHeight="1" s="31">
      <c r="A32" s="5" t="n">
        <v>30</v>
      </c>
      <c r="B32" s="6" t="inlineStr">
        <is>
          <t>Yusuf Han Kızıltepe</t>
        </is>
      </c>
      <c r="C32" s="6" t="inlineStr">
        <is>
          <t>Other</t>
        </is>
      </c>
      <c r="D32" s="6" t="inlineStr">
        <is>
          <t>Electrical &amp; Electronics Engineering</t>
        </is>
      </c>
      <c r="E32" s="7" t="inlineStr">
        <is>
          <t>4th year</t>
        </is>
      </c>
      <c r="F32" s="7" t="n"/>
      <c r="G32" s="7" t="inlineStr">
        <is>
          <t>None</t>
        </is>
      </c>
      <c r="H32" s="7" t="n">
        <v>2</v>
      </c>
      <c r="I32" s="7" t="n">
        <v>2</v>
      </c>
      <c r="J32" s="7" t="n">
        <v>1</v>
      </c>
      <c r="K32" s="7" t="n">
        <v>3</v>
      </c>
      <c r="L32" s="7" t="n">
        <v>1</v>
      </c>
      <c r="M32" s="7" t="n">
        <v>3</v>
      </c>
      <c r="N32" s="7" t="n"/>
      <c r="O32" s="7" t="n"/>
      <c r="P32" s="7" t="n"/>
      <c r="Q32" s="7" t="n"/>
      <c r="R32" s="7" t="n"/>
      <c r="S32" s="7" t="n"/>
      <c r="T32" s="7" t="inlineStr">
        <is>
          <t>N</t>
        </is>
      </c>
      <c r="U32" s="8">
        <f>IF(B32="","",(X32*Weights!$B$2+Y32*Weights!$B$3+Z32*Weights!$B$4+AA32*Weights!$B$5+AB32*Weights!$B$6+H32*Weights!$B$7+I32*Weights!$B$8+J32*Weights!$B$9+K32*Weights!$B$10+L32*Weights!$B$11+M32*Weights!$B$12+N32*Weights!$B$13+AC32*Weights!$B$14)/5)</f>
        <v/>
      </c>
      <c r="V32" s="9">
        <f>IF(OR(B32="",T32="Y"),"",1+SUMPRODUCT(((U$3:U$32&gt;U32)+((U$3:U$32=U32)*(ROW(U$3:U$32)&lt;32)))*(T$3:T$32&lt;&gt;"Y")*(B$3:B$32&lt;&gt;"")))</f>
        <v/>
      </c>
      <c r="W32" s="6" t="inlineStr">
        <is>
          <t>Manisa Celal Bayar Üni EEE son sınıf. Altium PCB, STM32 embedded, BMS hardware. Limited GNC/UAV exposure.</t>
        </is>
      </c>
      <c r="X32" s="10">
        <f>IFERROR(VLOOKUP(VLOOKUP(C32,Uni_Tiers!$A$2:$B$24,2,FALSE()),Uni_Tiers!$E$2:$F$6,2,FALSE()),IF(C32="",1,2))</f>
        <v/>
      </c>
      <c r="Y32" s="10">
        <f>IFERROR(VLOOKUP(D32,Dept_Fit!$A$2:$B$15,2,FALSE()),1)</f>
        <v/>
      </c>
      <c r="Z32" s="10">
        <f>IF(F32="",1,IF(F32&gt;=3.5,5,IF(F32&gt;=3,4,IF(F32&gt;=2.5,3,IF(F32&gt;=2,2,1)))))</f>
        <v/>
      </c>
      <c r="AA32" s="10">
        <f>IFERROR(VLOOKUP(E32,Status_Map!$A$2:$B$9,2,FALSE()),1)</f>
        <v/>
      </c>
      <c r="AB32" s="10">
        <f>IFERROR(VLOOKUP(G32,Teknofest_Map!$A$2:$B$6,2,FALSE()),1)</f>
        <v/>
      </c>
      <c r="AC32" s="10">
        <f>IFERROR(AVERAGE(O32,P32,Q32,R32,S32),0)</f>
        <v/>
      </c>
      <c r="AD32" s="10">
        <f>IF(T32="Y",ROW()-2,"")</f>
        <v/>
      </c>
    </row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6">
    <mergeCell ref="C1:G1"/>
    <mergeCell ref="O1:S1"/>
    <mergeCell ref="A1:B1"/>
    <mergeCell ref="X1:AD1"/>
    <mergeCell ref="H1:N1"/>
    <mergeCell ref="T1:W1"/>
  </mergeCells>
  <conditionalFormatting sqref="A3:W32">
    <cfRule type="expression" priority="2" dxfId="2">
      <formula>$T3="Y"</formula>
    </cfRule>
  </conditionalFormatting>
  <conditionalFormatting sqref="U3:U32">
    <cfRule type="colorScale" priority="1">
      <colorScale>
        <cfvo type="formula" val="40"/>
        <cfvo type="formula" val="65"/>
        <cfvo type="formula" val="85"/>
        <color rgb="FFF8696B"/>
        <color rgb="FFFFEB84"/>
        <color rgb="FF63BE7B"/>
      </colorScale>
    </cfRule>
  </conditionalFormatting>
  <dataValidations count="3">
    <dataValidation sqref="F3:F32" showDropDown="0" showInputMessage="0" showErrorMessage="0" allowBlank="1" type="decimal">
      <formula1>0</formula1>
      <formula2>4</formula2>
    </dataValidation>
    <dataValidation sqref="T3:T32" showDropDown="0" showInputMessage="0" showErrorMessage="0" allowBlank="1" type="list">
      <formula1>"Y,N"</formula1>
    </dataValidation>
    <dataValidation sqref="H3:S32" showDropDown="0" showInputMessage="0" showErrorMessage="0" allowBlank="1" type="decimal">
      <formula1>1</formula1>
      <formula2>5</formula2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8" customWidth="1" style="31" min="1" max="1"/>
    <col width="22" customWidth="1" style="31" min="2" max="2"/>
    <col width="24" customWidth="1" style="31" min="3" max="3"/>
    <col width="26" customWidth="1" style="31" min="4" max="4"/>
    <col width="22" customWidth="1" style="31" min="5" max="5"/>
    <col width="8" customWidth="1" style="31" min="6" max="6"/>
    <col width="16" customWidth="1" style="31" min="7" max="7"/>
    <col width="14" customWidth="1" style="31" min="8" max="8"/>
    <col width="8.7109375" customWidth="1" style="31" min="9" max="26"/>
  </cols>
  <sheetData>
    <row r="1" ht="30" customHeight="1" s="31">
      <c r="A1" s="4" t="inlineStr">
        <is>
          <t>Rank</t>
        </is>
      </c>
      <c r="B1" s="4" t="inlineStr">
        <is>
          <t>Name</t>
        </is>
      </c>
      <c r="C1" s="4" t="inlineStr">
        <is>
          <t>University</t>
        </is>
      </c>
      <c r="D1" s="4" t="inlineStr">
        <is>
          <t>Department</t>
        </is>
      </c>
      <c r="E1" s="4" t="inlineStr">
        <is>
          <t>Status</t>
        </is>
      </c>
      <c r="F1" s="4" t="inlineStr">
        <is>
          <t>GPA</t>
        </is>
      </c>
      <c r="G1" s="4" t="inlineStr">
        <is>
          <t>Weighted Score</t>
        </is>
      </c>
      <c r="H1" s="4" t="inlineStr">
        <is>
          <t>Disqualified?</t>
        </is>
      </c>
    </row>
    <row r="2">
      <c r="A2" s="11" t="n">
        <v>1</v>
      </c>
      <c r="B2" s="12">
        <f t="array" ref="B2">IFERROR(INDEX(Scoring!B$3:B$32,MATCH(1,Scoring!V$3:V$32,0)),"")</f>
        <v/>
      </c>
      <c r="C2" s="12">
        <f t="array" ref="C2">IFERROR(INDEX(Scoring!C$3:C$32,MATCH(1,Scoring!V$3:V$32,0)),"")</f>
        <v/>
      </c>
      <c r="D2" s="12">
        <f t="array" ref="D2">IFERROR(INDEX(Scoring!D$3:D$32,MATCH(1,Scoring!V$3:V$32,0)),"")</f>
        <v/>
      </c>
      <c r="E2" s="13">
        <f t="array" ref="E2">IFERROR(INDEX(Scoring!E$3:E$32,MATCH(1,Scoring!V$3:V$32,0)),"")</f>
        <v/>
      </c>
      <c r="F2" s="13">
        <f t="array" ref="F2">IFERROR(INDEX(Scoring!F$3:F$32,MATCH(1,Scoring!V$3:V$32,0)),"")</f>
        <v/>
      </c>
      <c r="G2" s="14">
        <f t="array" ref="G2">IFERROR(INDEX(Scoring!U$3:U$32,MATCH(1,Scoring!V$3:V$32,0)),"")</f>
        <v/>
      </c>
      <c r="H2" s="13">
        <f t="array" ref="H2">IFERROR(INDEX(Scoring!T$3:T$32,MATCH(1,Scoring!V$3:V$32,0)),"")</f>
        <v/>
      </c>
    </row>
    <row r="3">
      <c r="A3" s="11" t="n">
        <v>2</v>
      </c>
      <c r="B3" s="12">
        <f t="array" ref="B3">IFERROR(INDEX(Scoring!B$3:B$32,MATCH(2,Scoring!V$3:V$32,0)),"")</f>
        <v/>
      </c>
      <c r="C3" s="12">
        <f t="array" ref="C3">IFERROR(INDEX(Scoring!C$3:C$32,MATCH(2,Scoring!V$3:V$32,0)),"")</f>
        <v/>
      </c>
      <c r="D3" s="12">
        <f t="array" ref="D3">IFERROR(INDEX(Scoring!D$3:D$32,MATCH(2,Scoring!V$3:V$32,0)),"")</f>
        <v/>
      </c>
      <c r="E3" s="13">
        <f t="array" ref="E3">IFERROR(INDEX(Scoring!E$3:E$32,MATCH(2,Scoring!V$3:V$32,0)),"")</f>
        <v/>
      </c>
      <c r="F3" s="13">
        <f t="array" ref="F3">IFERROR(INDEX(Scoring!F$3:F$32,MATCH(2,Scoring!V$3:V$32,0)),"")</f>
        <v/>
      </c>
      <c r="G3" s="14">
        <f t="array" ref="G3">IFERROR(INDEX(Scoring!U$3:U$32,MATCH(2,Scoring!V$3:V$32,0)),"")</f>
        <v/>
      </c>
      <c r="H3" s="13">
        <f t="array" ref="H3">IFERROR(INDEX(Scoring!T$3:T$32,MATCH(2,Scoring!V$3:V$32,0)),"")</f>
        <v/>
      </c>
    </row>
    <row r="4" ht="25.5" customHeight="1" s="31">
      <c r="A4" s="11" t="n">
        <v>3</v>
      </c>
      <c r="B4" s="12">
        <f t="array" ref="B4">IFERROR(INDEX(Scoring!B$3:B$32,MATCH(3,Scoring!V$3:V$32,0)),"")</f>
        <v/>
      </c>
      <c r="C4" s="12">
        <f t="array" ref="C4">IFERROR(INDEX(Scoring!C$3:C$32,MATCH(3,Scoring!V$3:V$32,0)),"")</f>
        <v/>
      </c>
      <c r="D4" s="12">
        <f t="array" ref="D4">IFERROR(INDEX(Scoring!D$3:D$32,MATCH(3,Scoring!V$3:V$32,0)),"")</f>
        <v/>
      </c>
      <c r="E4" s="13">
        <f t="array" ref="E4">IFERROR(INDEX(Scoring!E$3:E$32,MATCH(3,Scoring!V$3:V$32,0)),"")</f>
        <v/>
      </c>
      <c r="F4" s="13">
        <f t="array" ref="F4">IFERROR(INDEX(Scoring!F$3:F$32,MATCH(3,Scoring!V$3:V$32,0)),"")</f>
        <v/>
      </c>
      <c r="G4" s="14">
        <f t="array" ref="G4">IFERROR(INDEX(Scoring!U$3:U$32,MATCH(3,Scoring!V$3:V$32,0)),"")</f>
        <v/>
      </c>
      <c r="H4" s="13">
        <f t="array" ref="H4">IFERROR(INDEX(Scoring!T$3:T$32,MATCH(3,Scoring!V$3:V$32,0)),"")</f>
        <v/>
      </c>
    </row>
    <row r="5">
      <c r="A5" s="11" t="n">
        <v>4</v>
      </c>
      <c r="B5" s="12">
        <f t="array" ref="B5">IFERROR(INDEX(Scoring!B$3:B$32,MATCH(4,Scoring!V$3:V$32,0)),"")</f>
        <v/>
      </c>
      <c r="C5" s="12">
        <f t="array" ref="C5">IFERROR(INDEX(Scoring!C$3:C$32,MATCH(4,Scoring!V$3:V$32,0)),"")</f>
        <v/>
      </c>
      <c r="D5" s="12">
        <f t="array" ref="D5">IFERROR(INDEX(Scoring!D$3:D$32,MATCH(4,Scoring!V$3:V$32,0)),"")</f>
        <v/>
      </c>
      <c r="E5" s="13">
        <f t="array" ref="E5">IFERROR(INDEX(Scoring!E$3:E$32,MATCH(4,Scoring!V$3:V$32,0)),"")</f>
        <v/>
      </c>
      <c r="F5" s="13">
        <f t="array" ref="F5">IFERROR(INDEX(Scoring!F$3:F$32,MATCH(4,Scoring!V$3:V$32,0)),"")</f>
        <v/>
      </c>
      <c r="G5" s="14">
        <f t="array" ref="G5">IFERROR(INDEX(Scoring!U$3:U$32,MATCH(4,Scoring!V$3:V$32,0)),"")</f>
        <v/>
      </c>
      <c r="H5" s="13">
        <f t="array" ref="H5">IFERROR(INDEX(Scoring!T$3:T$32,MATCH(4,Scoring!V$3:V$32,0)),"")</f>
        <v/>
      </c>
    </row>
    <row r="6">
      <c r="A6" s="11" t="n">
        <v>5</v>
      </c>
      <c r="B6" s="12">
        <f t="array" ref="B6">IFERROR(INDEX(Scoring!B$3:B$32,MATCH(5,Scoring!V$3:V$32,0)),"")</f>
        <v/>
      </c>
      <c r="C6" s="12">
        <f t="array" ref="C6">IFERROR(INDEX(Scoring!C$3:C$32,MATCH(5,Scoring!V$3:V$32,0)),"")</f>
        <v/>
      </c>
      <c r="D6" s="12">
        <f t="array" ref="D6">IFERROR(INDEX(Scoring!D$3:D$32,MATCH(5,Scoring!V$3:V$32,0)),"")</f>
        <v/>
      </c>
      <c r="E6" s="13">
        <f t="array" ref="E6">IFERROR(INDEX(Scoring!E$3:E$32,MATCH(5,Scoring!V$3:V$32,0)),"")</f>
        <v/>
      </c>
      <c r="F6" s="13">
        <f t="array" ref="F6">IFERROR(INDEX(Scoring!F$3:F$32,MATCH(5,Scoring!V$3:V$32,0)),"")</f>
        <v/>
      </c>
      <c r="G6" s="14">
        <f t="array" ref="G6">IFERROR(INDEX(Scoring!U$3:U$32,MATCH(5,Scoring!V$3:V$32,0)),"")</f>
        <v/>
      </c>
      <c r="H6" s="13">
        <f t="array" ref="H6">IFERROR(INDEX(Scoring!T$3:T$32,MATCH(5,Scoring!V$3:V$32,0)),"")</f>
        <v/>
      </c>
    </row>
    <row r="7" ht="25.5" customHeight="1" s="31">
      <c r="A7" s="11" t="n">
        <v>6</v>
      </c>
      <c r="B7" s="12">
        <f t="array" ref="B7">IFERROR(INDEX(Scoring!B$3:B$32,MATCH(6,Scoring!V$3:V$32,0)),"")</f>
        <v/>
      </c>
      <c r="C7" s="12">
        <f t="array" ref="C7">IFERROR(INDEX(Scoring!C$3:C$32,MATCH(6,Scoring!V$3:V$32,0)),"")</f>
        <v/>
      </c>
      <c r="D7" s="12">
        <f t="array" ref="D7">IFERROR(INDEX(Scoring!D$3:D$32,MATCH(6,Scoring!V$3:V$32,0)),"")</f>
        <v/>
      </c>
      <c r="E7" s="13">
        <f t="array" ref="E7">IFERROR(INDEX(Scoring!E$3:E$32,MATCH(6,Scoring!V$3:V$32,0)),"")</f>
        <v/>
      </c>
      <c r="F7" s="13">
        <f t="array" ref="F7">IFERROR(INDEX(Scoring!F$3:F$32,MATCH(6,Scoring!V$3:V$32,0)),"")</f>
        <v/>
      </c>
      <c r="G7" s="14">
        <f t="array" ref="G7">IFERROR(INDEX(Scoring!U$3:U$32,MATCH(6,Scoring!V$3:V$32,0)),"")</f>
        <v/>
      </c>
      <c r="H7" s="13">
        <f t="array" ref="H7">IFERROR(INDEX(Scoring!T$3:T$32,MATCH(6,Scoring!V$3:V$32,0)),"")</f>
        <v/>
      </c>
    </row>
    <row r="8">
      <c r="A8" s="11" t="n">
        <v>7</v>
      </c>
      <c r="B8" s="12">
        <f t="array" ref="B8">IFERROR(INDEX(Scoring!B$3:B$32,MATCH(7,Scoring!V$3:V$32,0)),"")</f>
        <v/>
      </c>
      <c r="C8" s="12">
        <f t="array" ref="C8">IFERROR(INDEX(Scoring!C$3:C$32,MATCH(7,Scoring!V$3:V$32,0)),"")</f>
        <v/>
      </c>
      <c r="D8" s="12">
        <f t="array" ref="D8">IFERROR(INDEX(Scoring!D$3:D$32,MATCH(7,Scoring!V$3:V$32,0)),"")</f>
        <v/>
      </c>
      <c r="E8" s="13">
        <f t="array" ref="E8">IFERROR(INDEX(Scoring!E$3:E$32,MATCH(7,Scoring!V$3:V$32,0)),"")</f>
        <v/>
      </c>
      <c r="F8" s="13">
        <f t="array" ref="F8">IFERROR(INDEX(Scoring!F$3:F$32,MATCH(7,Scoring!V$3:V$32,0)),"")</f>
        <v/>
      </c>
      <c r="G8" s="14">
        <f t="array" ref="G8">IFERROR(INDEX(Scoring!U$3:U$32,MATCH(7,Scoring!V$3:V$32,0)),"")</f>
        <v/>
      </c>
      <c r="H8" s="13">
        <f t="array" ref="H8">IFERROR(INDEX(Scoring!T$3:T$32,MATCH(7,Scoring!V$3:V$32,0)),"")</f>
        <v/>
      </c>
    </row>
    <row r="9">
      <c r="A9" s="11" t="n">
        <v>8</v>
      </c>
      <c r="B9" s="12">
        <f t="array" ref="B9">IFERROR(INDEX(Scoring!B$3:B$32,MATCH(8,Scoring!V$3:V$32,0)),"")</f>
        <v/>
      </c>
      <c r="C9" s="12">
        <f t="array" ref="C9">IFERROR(INDEX(Scoring!C$3:C$32,MATCH(8,Scoring!V$3:V$32,0)),"")</f>
        <v/>
      </c>
      <c r="D9" s="12">
        <f t="array" ref="D9">IFERROR(INDEX(Scoring!D$3:D$32,MATCH(8,Scoring!V$3:V$32,0)),"")</f>
        <v/>
      </c>
      <c r="E9" s="13">
        <f t="array" ref="E9">IFERROR(INDEX(Scoring!E$3:E$32,MATCH(8,Scoring!V$3:V$32,0)),"")</f>
        <v/>
      </c>
      <c r="F9" s="13">
        <f t="array" ref="F9">IFERROR(INDEX(Scoring!F$3:F$32,MATCH(8,Scoring!V$3:V$32,0)),"")</f>
        <v/>
      </c>
      <c r="G9" s="14">
        <f t="array" ref="G9">IFERROR(INDEX(Scoring!U$3:U$32,MATCH(8,Scoring!V$3:V$32,0)),"")</f>
        <v/>
      </c>
      <c r="H9" s="13">
        <f t="array" ref="H9">IFERROR(INDEX(Scoring!T$3:T$32,MATCH(8,Scoring!V$3:V$32,0)),"")</f>
        <v/>
      </c>
    </row>
    <row r="10">
      <c r="A10" s="11" t="n">
        <v>9</v>
      </c>
      <c r="B10" s="12">
        <f t="array" ref="B10">IFERROR(INDEX(Scoring!B$3:B$32,MATCH(9,Scoring!V$3:V$32,0)),"")</f>
        <v/>
      </c>
      <c r="C10" s="12">
        <f t="array" ref="C10">IFERROR(INDEX(Scoring!C$3:C$32,MATCH(9,Scoring!V$3:V$32,0)),"")</f>
        <v/>
      </c>
      <c r="D10" s="12">
        <f t="array" ref="D10">IFERROR(INDEX(Scoring!D$3:D$32,MATCH(9,Scoring!V$3:V$32,0)),"")</f>
        <v/>
      </c>
      <c r="E10" s="13">
        <f t="array" ref="E10">IFERROR(INDEX(Scoring!E$3:E$32,MATCH(9,Scoring!V$3:V$32,0)),"")</f>
        <v/>
      </c>
      <c r="F10" s="13">
        <f t="array" ref="F10">IFERROR(INDEX(Scoring!F$3:F$32,MATCH(9,Scoring!V$3:V$32,0)),"")</f>
        <v/>
      </c>
      <c r="G10" s="14">
        <f t="array" ref="G10">IFERROR(INDEX(Scoring!U$3:U$32,MATCH(9,Scoring!V$3:V$32,0)),"")</f>
        <v/>
      </c>
      <c r="H10" s="13">
        <f t="array" ref="H10">IFERROR(INDEX(Scoring!T$3:T$32,MATCH(9,Scoring!V$3:V$32,0)),"")</f>
        <v/>
      </c>
    </row>
    <row r="11" ht="25.5" customHeight="1" s="31">
      <c r="A11" s="11" t="n">
        <v>10</v>
      </c>
      <c r="B11" s="12">
        <f t="array" ref="B11">IFERROR(INDEX(Scoring!B$3:B$32,MATCH(10,Scoring!V$3:V$32,0)),"")</f>
        <v/>
      </c>
      <c r="C11" s="12">
        <f t="array" ref="C11">IFERROR(INDEX(Scoring!C$3:C$32,MATCH(10,Scoring!V$3:V$32,0)),"")</f>
        <v/>
      </c>
      <c r="D11" s="12">
        <f t="array" ref="D11">IFERROR(INDEX(Scoring!D$3:D$32,MATCH(10,Scoring!V$3:V$32,0)),"")</f>
        <v/>
      </c>
      <c r="E11" s="13">
        <f t="array" ref="E11">IFERROR(INDEX(Scoring!E$3:E$32,MATCH(10,Scoring!V$3:V$32,0)),"")</f>
        <v/>
      </c>
      <c r="F11" s="13">
        <f t="array" ref="F11">IFERROR(INDEX(Scoring!F$3:F$32,MATCH(10,Scoring!V$3:V$32,0)),"")</f>
        <v/>
      </c>
      <c r="G11" s="14">
        <f t="array" ref="G11">IFERROR(INDEX(Scoring!U$3:U$32,MATCH(10,Scoring!V$3:V$32,0)),"")</f>
        <v/>
      </c>
      <c r="H11" s="13">
        <f t="array" ref="H11">IFERROR(INDEX(Scoring!T$3:T$32,MATCH(10,Scoring!V$3:V$32,0)),"")</f>
        <v/>
      </c>
    </row>
    <row r="12">
      <c r="A12" s="11" t="n">
        <v>11</v>
      </c>
      <c r="B12" s="12">
        <f t="array" ref="B12">IFERROR(INDEX(Scoring!B$3:B$32,MATCH(11,Scoring!V$3:V$32,0)),"")</f>
        <v/>
      </c>
      <c r="C12" s="12">
        <f t="array" ref="C12">IFERROR(INDEX(Scoring!C$3:C$32,MATCH(11,Scoring!V$3:V$32,0)),"")</f>
        <v/>
      </c>
      <c r="D12" s="12">
        <f t="array" ref="D12">IFERROR(INDEX(Scoring!D$3:D$32,MATCH(11,Scoring!V$3:V$32,0)),"")</f>
        <v/>
      </c>
      <c r="E12" s="13">
        <f t="array" ref="E12">IFERROR(INDEX(Scoring!E$3:E$32,MATCH(11,Scoring!V$3:V$32,0)),"")</f>
        <v/>
      </c>
      <c r="F12" s="13">
        <f t="array" ref="F12">IFERROR(INDEX(Scoring!F$3:F$32,MATCH(11,Scoring!V$3:V$32,0)),"")</f>
        <v/>
      </c>
      <c r="G12" s="14">
        <f t="array" ref="G12">IFERROR(INDEX(Scoring!U$3:U$32,MATCH(11,Scoring!V$3:V$32,0)),"")</f>
        <v/>
      </c>
      <c r="H12" s="13">
        <f t="array" ref="H12">IFERROR(INDEX(Scoring!T$3:T$32,MATCH(11,Scoring!V$3:V$32,0)),"")</f>
        <v/>
      </c>
    </row>
    <row r="13" ht="25.5" customHeight="1" s="31">
      <c r="A13" s="11" t="n">
        <v>12</v>
      </c>
      <c r="B13" s="12">
        <f t="array" ref="B13">IFERROR(INDEX(Scoring!B$3:B$32,MATCH(12,Scoring!V$3:V$32,0)),"")</f>
        <v/>
      </c>
      <c r="C13" s="12">
        <f t="array" ref="C13">IFERROR(INDEX(Scoring!C$3:C$32,MATCH(12,Scoring!V$3:V$32,0)),"")</f>
        <v/>
      </c>
      <c r="D13" s="12">
        <f t="array" ref="D13">IFERROR(INDEX(Scoring!D$3:D$32,MATCH(12,Scoring!V$3:V$32,0)),"")</f>
        <v/>
      </c>
      <c r="E13" s="13">
        <f t="array" ref="E13">IFERROR(INDEX(Scoring!E$3:E$32,MATCH(12,Scoring!V$3:V$32,0)),"")</f>
        <v/>
      </c>
      <c r="F13" s="13">
        <f t="array" ref="F13">IFERROR(INDEX(Scoring!F$3:F$32,MATCH(12,Scoring!V$3:V$32,0)),"")</f>
        <v/>
      </c>
      <c r="G13" s="14">
        <f t="array" ref="G13">IFERROR(INDEX(Scoring!U$3:U$32,MATCH(12,Scoring!V$3:V$32,0)),"")</f>
        <v/>
      </c>
      <c r="H13" s="13">
        <f t="array" ref="H13">IFERROR(INDEX(Scoring!T$3:T$32,MATCH(12,Scoring!V$3:V$32,0)),"")</f>
        <v/>
      </c>
    </row>
    <row r="14" ht="25.5" customHeight="1" s="31">
      <c r="A14" s="11" t="n">
        <v>13</v>
      </c>
      <c r="B14" s="12">
        <f t="array" ref="B14">IFERROR(INDEX(Scoring!B$3:B$32,MATCH(13,Scoring!V$3:V$32,0)),"")</f>
        <v/>
      </c>
      <c r="C14" s="12">
        <f t="array" ref="C14">IFERROR(INDEX(Scoring!C$3:C$32,MATCH(13,Scoring!V$3:V$32,0)),"")</f>
        <v/>
      </c>
      <c r="D14" s="12">
        <f t="array" ref="D14">IFERROR(INDEX(Scoring!D$3:D$32,MATCH(13,Scoring!V$3:V$32,0)),"")</f>
        <v/>
      </c>
      <c r="E14" s="13">
        <f t="array" ref="E14">IFERROR(INDEX(Scoring!E$3:E$32,MATCH(13,Scoring!V$3:V$32,0)),"")</f>
        <v/>
      </c>
      <c r="F14" s="13">
        <f t="array" ref="F14">IFERROR(INDEX(Scoring!F$3:F$32,MATCH(13,Scoring!V$3:V$32,0)),"")</f>
        <v/>
      </c>
      <c r="G14" s="14">
        <f t="array" ref="G14">IFERROR(INDEX(Scoring!U$3:U$32,MATCH(13,Scoring!V$3:V$32,0)),"")</f>
        <v/>
      </c>
      <c r="H14" s="13">
        <f t="array" ref="H14">IFERROR(INDEX(Scoring!T$3:T$32,MATCH(13,Scoring!V$3:V$32,0)),"")</f>
        <v/>
      </c>
    </row>
    <row r="15">
      <c r="A15" s="11" t="n">
        <v>14</v>
      </c>
      <c r="B15" s="12">
        <f t="array" ref="B15">IFERROR(INDEX(Scoring!B$3:B$32,MATCH(14,Scoring!V$3:V$32,0)),"")</f>
        <v/>
      </c>
      <c r="C15" s="12">
        <f t="array" ref="C15">IFERROR(INDEX(Scoring!C$3:C$32,MATCH(14,Scoring!V$3:V$32,0)),"")</f>
        <v/>
      </c>
      <c r="D15" s="12">
        <f t="array" ref="D15">IFERROR(INDEX(Scoring!D$3:D$32,MATCH(14,Scoring!V$3:V$32,0)),"")</f>
        <v/>
      </c>
      <c r="E15" s="13">
        <f t="array" ref="E15">IFERROR(INDEX(Scoring!E$3:E$32,MATCH(14,Scoring!V$3:V$32,0)),"")</f>
        <v/>
      </c>
      <c r="F15" s="13">
        <f t="array" ref="F15">IFERROR(INDEX(Scoring!F$3:F$32,MATCH(14,Scoring!V$3:V$32,0)),"")</f>
        <v/>
      </c>
      <c r="G15" s="14">
        <f t="array" ref="G15">IFERROR(INDEX(Scoring!U$3:U$32,MATCH(14,Scoring!V$3:V$32,0)),"")</f>
        <v/>
      </c>
      <c r="H15" s="13">
        <f t="array" ref="H15">IFERROR(INDEX(Scoring!T$3:T$32,MATCH(14,Scoring!V$3:V$32,0)),"")</f>
        <v/>
      </c>
    </row>
    <row r="16" ht="25.5" customHeight="1" s="31">
      <c r="A16" s="11" t="n">
        <v>15</v>
      </c>
      <c r="B16" s="12">
        <f t="array" ref="B16">IFERROR(INDEX(Scoring!B$3:B$32,MATCH(15,Scoring!V$3:V$32,0)),"")</f>
        <v/>
      </c>
      <c r="C16" s="12">
        <f t="array" ref="C16">IFERROR(INDEX(Scoring!C$3:C$32,MATCH(15,Scoring!V$3:V$32,0)),"")</f>
        <v/>
      </c>
      <c r="D16" s="12">
        <f t="array" ref="D16">IFERROR(INDEX(Scoring!D$3:D$32,MATCH(15,Scoring!V$3:V$32,0)),"")</f>
        <v/>
      </c>
      <c r="E16" s="13">
        <f t="array" ref="E16">IFERROR(INDEX(Scoring!E$3:E$32,MATCH(15,Scoring!V$3:V$32,0)),"")</f>
        <v/>
      </c>
      <c r="F16" s="13">
        <f t="array" ref="F16">IFERROR(INDEX(Scoring!F$3:F$32,MATCH(15,Scoring!V$3:V$32,0)),"")</f>
        <v/>
      </c>
      <c r="G16" s="14">
        <f t="array" ref="G16">IFERROR(INDEX(Scoring!U$3:U$32,MATCH(15,Scoring!V$3:V$32,0)),"")</f>
        <v/>
      </c>
      <c r="H16" s="13">
        <f t="array" ref="H16">IFERROR(INDEX(Scoring!T$3:T$32,MATCH(15,Scoring!V$3:V$32,0)),"")</f>
        <v/>
      </c>
    </row>
    <row r="17">
      <c r="A17" s="11" t="n">
        <v>16</v>
      </c>
      <c r="B17" s="12">
        <f t="array" ref="B17">IFERROR(INDEX(Scoring!B$3:B$32,MATCH(16,Scoring!V$3:V$32,0)),"")</f>
        <v/>
      </c>
      <c r="C17" s="12">
        <f t="array" ref="C17">IFERROR(INDEX(Scoring!C$3:C$32,MATCH(16,Scoring!V$3:V$32,0)),"")</f>
        <v/>
      </c>
      <c r="D17" s="12">
        <f t="array" ref="D17">IFERROR(INDEX(Scoring!D$3:D$32,MATCH(16,Scoring!V$3:V$32,0)),"")</f>
        <v/>
      </c>
      <c r="E17" s="13">
        <f t="array" ref="E17">IFERROR(INDEX(Scoring!E$3:E$32,MATCH(16,Scoring!V$3:V$32,0)),"")</f>
        <v/>
      </c>
      <c r="F17" s="13">
        <f t="array" ref="F17">IFERROR(INDEX(Scoring!F$3:F$32,MATCH(16,Scoring!V$3:V$32,0)),"")</f>
        <v/>
      </c>
      <c r="G17" s="14">
        <f t="array" ref="G17">IFERROR(INDEX(Scoring!U$3:U$32,MATCH(16,Scoring!V$3:V$32,0)),"")</f>
        <v/>
      </c>
      <c r="H17" s="13">
        <f t="array" ref="H17">IFERROR(INDEX(Scoring!T$3:T$32,MATCH(16,Scoring!V$3:V$32,0)),"")</f>
        <v/>
      </c>
    </row>
    <row r="18">
      <c r="A18" s="11" t="n">
        <v>17</v>
      </c>
      <c r="B18" s="12">
        <f t="array" ref="B18">IFERROR(INDEX(Scoring!B$3:B$32,MATCH(17,Scoring!V$3:V$32,0)),"")</f>
        <v/>
      </c>
      <c r="C18" s="12">
        <f t="array" ref="C18">IFERROR(INDEX(Scoring!C$3:C$32,MATCH(17,Scoring!V$3:V$32,0)),"")</f>
        <v/>
      </c>
      <c r="D18" s="12">
        <f t="array" ref="D18">IFERROR(INDEX(Scoring!D$3:D$32,MATCH(17,Scoring!V$3:V$32,0)),"")</f>
        <v/>
      </c>
      <c r="E18" s="13">
        <f t="array" ref="E18">IFERROR(INDEX(Scoring!E$3:E$32,MATCH(17,Scoring!V$3:V$32,0)),"")</f>
        <v/>
      </c>
      <c r="F18" s="13">
        <f t="array" ref="F18">IFERROR(INDEX(Scoring!F$3:F$32,MATCH(17,Scoring!V$3:V$32,0)),"")</f>
        <v/>
      </c>
      <c r="G18" s="14">
        <f t="array" ref="G18">IFERROR(INDEX(Scoring!U$3:U$32,MATCH(17,Scoring!V$3:V$32,0)),"")</f>
        <v/>
      </c>
      <c r="H18" s="13">
        <f t="array" ref="H18">IFERROR(INDEX(Scoring!T$3:T$32,MATCH(17,Scoring!V$3:V$32,0)),"")</f>
        <v/>
      </c>
    </row>
    <row r="19">
      <c r="A19" s="11" t="n">
        <v>18</v>
      </c>
      <c r="B19" s="12">
        <f t="array" ref="B19">IFERROR(INDEX(Scoring!B$3:B$32,MATCH(18,Scoring!V$3:V$32,0)),"")</f>
        <v/>
      </c>
      <c r="C19" s="12">
        <f t="array" ref="C19">IFERROR(INDEX(Scoring!C$3:C$32,MATCH(18,Scoring!V$3:V$32,0)),"")</f>
        <v/>
      </c>
      <c r="D19" s="12">
        <f t="array" ref="D19">IFERROR(INDEX(Scoring!D$3:D$32,MATCH(18,Scoring!V$3:V$32,0)),"")</f>
        <v/>
      </c>
      <c r="E19" s="13">
        <f t="array" ref="E19">IFERROR(INDEX(Scoring!E$3:E$32,MATCH(18,Scoring!V$3:V$32,0)),"")</f>
        <v/>
      </c>
      <c r="F19" s="13">
        <f t="array" ref="F19">IFERROR(INDEX(Scoring!F$3:F$32,MATCH(18,Scoring!V$3:V$32,0)),"")</f>
        <v/>
      </c>
      <c r="G19" s="14">
        <f t="array" ref="G19">IFERROR(INDEX(Scoring!U$3:U$32,MATCH(18,Scoring!V$3:V$32,0)),"")</f>
        <v/>
      </c>
      <c r="H19" s="13">
        <f t="array" ref="H19">IFERROR(INDEX(Scoring!T$3:T$32,MATCH(18,Scoring!V$3:V$32,0)),"")</f>
        <v/>
      </c>
    </row>
    <row r="20">
      <c r="A20" s="11" t="n">
        <v>19</v>
      </c>
      <c r="B20" s="12">
        <f t="array" ref="B20">IFERROR(INDEX(Scoring!B$3:B$32,MATCH(19,Scoring!V$3:V$32,0)),"")</f>
        <v/>
      </c>
      <c r="C20" s="12">
        <f t="array" ref="C20">IFERROR(INDEX(Scoring!C$3:C$32,MATCH(19,Scoring!V$3:V$32,0)),"")</f>
        <v/>
      </c>
      <c r="D20" s="12">
        <f t="array" ref="D20">IFERROR(INDEX(Scoring!D$3:D$32,MATCH(19,Scoring!V$3:V$32,0)),"")</f>
        <v/>
      </c>
      <c r="E20" s="13">
        <f t="array" ref="E20">IFERROR(INDEX(Scoring!E$3:E$32,MATCH(19,Scoring!V$3:V$32,0)),"")</f>
        <v/>
      </c>
      <c r="F20" s="13">
        <f t="array" ref="F20">IFERROR(INDEX(Scoring!F$3:F$32,MATCH(19,Scoring!V$3:V$32,0)),"")</f>
        <v/>
      </c>
      <c r="G20" s="14">
        <f t="array" ref="G20">IFERROR(INDEX(Scoring!U$3:U$32,MATCH(19,Scoring!V$3:V$32,0)),"")</f>
        <v/>
      </c>
      <c r="H20" s="13">
        <f t="array" ref="H20">IFERROR(INDEX(Scoring!T$3:T$32,MATCH(19,Scoring!V$3:V$32,0)),"")</f>
        <v/>
      </c>
    </row>
    <row r="21" ht="15.75" customHeight="1" s="31">
      <c r="A21" s="11" t="n">
        <v>20</v>
      </c>
      <c r="B21" s="12">
        <f t="array" ref="B21">IFERROR(INDEX(Scoring!B$3:B$32,MATCH(20,Scoring!V$3:V$32,0)),"")</f>
        <v/>
      </c>
      <c r="C21" s="12">
        <f t="array" ref="C21">IFERROR(INDEX(Scoring!C$3:C$32,MATCH(20,Scoring!V$3:V$32,0)),"")</f>
        <v/>
      </c>
      <c r="D21" s="12">
        <f t="array" ref="D21">IFERROR(INDEX(Scoring!D$3:D$32,MATCH(20,Scoring!V$3:V$32,0)),"")</f>
        <v/>
      </c>
      <c r="E21" s="13">
        <f t="array" ref="E21">IFERROR(INDEX(Scoring!E$3:E$32,MATCH(20,Scoring!V$3:V$32,0)),"")</f>
        <v/>
      </c>
      <c r="F21" s="13">
        <f t="array" ref="F21">IFERROR(INDEX(Scoring!F$3:F$32,MATCH(20,Scoring!V$3:V$32,0)),"")</f>
        <v/>
      </c>
      <c r="G21" s="14">
        <f t="array" ref="G21">IFERROR(INDEX(Scoring!U$3:U$32,MATCH(20,Scoring!V$3:V$32,0)),"")</f>
        <v/>
      </c>
      <c r="H21" s="13">
        <f t="array" ref="H21">IFERROR(INDEX(Scoring!T$3:T$32,MATCH(20,Scoring!V$3:V$32,0)),"")</f>
        <v/>
      </c>
    </row>
    <row r="22" ht="15.75" customHeight="1" s="31">
      <c r="A22" s="11" t="n">
        <v>21</v>
      </c>
      <c r="B22" s="12">
        <f t="array" ref="B22">IFERROR(INDEX(Scoring!B$3:B$32,MATCH(21,Scoring!V$3:V$32,0)),"")</f>
        <v/>
      </c>
      <c r="C22" s="12">
        <f t="array" ref="C22">IFERROR(INDEX(Scoring!C$3:C$32,MATCH(21,Scoring!V$3:V$32,0)),"")</f>
        <v/>
      </c>
      <c r="D22" s="12">
        <f t="array" ref="D22">IFERROR(INDEX(Scoring!D$3:D$32,MATCH(21,Scoring!V$3:V$32,0)),"")</f>
        <v/>
      </c>
      <c r="E22" s="13">
        <f t="array" ref="E22">IFERROR(INDEX(Scoring!E$3:E$32,MATCH(21,Scoring!V$3:V$32,0)),"")</f>
        <v/>
      </c>
      <c r="F22" s="13">
        <f t="array" ref="F22">IFERROR(INDEX(Scoring!F$3:F$32,MATCH(21,Scoring!V$3:V$32,0)),"")</f>
        <v/>
      </c>
      <c r="G22" s="14">
        <f t="array" ref="G22">IFERROR(INDEX(Scoring!U$3:U$32,MATCH(21,Scoring!V$3:V$32,0)),"")</f>
        <v/>
      </c>
      <c r="H22" s="13">
        <f t="array" ref="H22">IFERROR(INDEX(Scoring!T$3:T$32,MATCH(21,Scoring!V$3:V$32,0)),"")</f>
        <v/>
      </c>
    </row>
    <row r="23" ht="15.75" customHeight="1" s="31">
      <c r="A23" s="11" t="n">
        <v>22</v>
      </c>
      <c r="B23" s="12">
        <f t="array" ref="B23">IFERROR(INDEX(Scoring!B$3:B$32,MATCH(22,Scoring!V$3:V$32,0)),"")</f>
        <v/>
      </c>
      <c r="C23" s="12">
        <f t="array" ref="C23">IFERROR(INDEX(Scoring!C$3:C$32,MATCH(22,Scoring!V$3:V$32,0)),"")</f>
        <v/>
      </c>
      <c r="D23" s="12">
        <f t="array" ref="D23">IFERROR(INDEX(Scoring!D$3:D$32,MATCH(22,Scoring!V$3:V$32,0)),"")</f>
        <v/>
      </c>
      <c r="E23" s="13">
        <f t="array" ref="E23">IFERROR(INDEX(Scoring!E$3:E$32,MATCH(22,Scoring!V$3:V$32,0)),"")</f>
        <v/>
      </c>
      <c r="F23" s="13">
        <f t="array" ref="F23">IFERROR(INDEX(Scoring!F$3:F$32,MATCH(22,Scoring!V$3:V$32,0)),"")</f>
        <v/>
      </c>
      <c r="G23" s="14">
        <f t="array" ref="G23">IFERROR(INDEX(Scoring!U$3:U$32,MATCH(22,Scoring!V$3:V$32,0)),"")</f>
        <v/>
      </c>
      <c r="H23" s="13">
        <f t="array" ref="H23">IFERROR(INDEX(Scoring!T$3:T$32,MATCH(22,Scoring!V$3:V$32,0)),"")</f>
        <v/>
      </c>
    </row>
    <row r="24" ht="15.75" customHeight="1" s="31">
      <c r="A24" s="11" t="n">
        <v>23</v>
      </c>
      <c r="B24" s="12">
        <f t="array" ref="B24">IFERROR(INDEX(Scoring!B$3:B$32,MATCH(23,Scoring!V$3:V$32,0)),"")</f>
        <v/>
      </c>
      <c r="C24" s="12">
        <f t="array" ref="C24">IFERROR(INDEX(Scoring!C$3:C$32,MATCH(23,Scoring!V$3:V$32,0)),"")</f>
        <v/>
      </c>
      <c r="D24" s="12">
        <f t="array" ref="D24">IFERROR(INDEX(Scoring!D$3:D$32,MATCH(23,Scoring!V$3:V$32,0)),"")</f>
        <v/>
      </c>
      <c r="E24" s="13">
        <f t="array" ref="E24">IFERROR(INDEX(Scoring!E$3:E$32,MATCH(23,Scoring!V$3:V$32,0)),"")</f>
        <v/>
      </c>
      <c r="F24" s="13">
        <f t="array" ref="F24">IFERROR(INDEX(Scoring!F$3:F$32,MATCH(23,Scoring!V$3:V$32,0)),"")</f>
        <v/>
      </c>
      <c r="G24" s="14">
        <f t="array" ref="G24">IFERROR(INDEX(Scoring!U$3:U$32,MATCH(23,Scoring!V$3:V$32,0)),"")</f>
        <v/>
      </c>
      <c r="H24" s="13">
        <f t="array" ref="H24">IFERROR(INDEX(Scoring!T$3:T$32,MATCH(23,Scoring!V$3:V$32,0)),"")</f>
        <v/>
      </c>
    </row>
    <row r="25" ht="15.75" customHeight="1" s="31">
      <c r="A25" s="11" t="n">
        <v>24</v>
      </c>
      <c r="B25" s="12">
        <f t="array" ref="B25">IFERROR(INDEX(Scoring!B$3:B$32,MATCH(24,Scoring!V$3:V$32,0)),"")</f>
        <v/>
      </c>
      <c r="C25" s="12">
        <f t="array" ref="C25">IFERROR(INDEX(Scoring!C$3:C$32,MATCH(24,Scoring!V$3:V$32,0)),"")</f>
        <v/>
      </c>
      <c r="D25" s="12">
        <f t="array" ref="D25">IFERROR(INDEX(Scoring!D$3:D$32,MATCH(24,Scoring!V$3:V$32,0)),"")</f>
        <v/>
      </c>
      <c r="E25" s="13">
        <f t="array" ref="E25">IFERROR(INDEX(Scoring!E$3:E$32,MATCH(24,Scoring!V$3:V$32,0)),"")</f>
        <v/>
      </c>
      <c r="F25" s="13">
        <f t="array" ref="F25">IFERROR(INDEX(Scoring!F$3:F$32,MATCH(24,Scoring!V$3:V$32,0)),"")</f>
        <v/>
      </c>
      <c r="G25" s="14">
        <f t="array" ref="G25">IFERROR(INDEX(Scoring!U$3:U$32,MATCH(24,Scoring!V$3:V$32,0)),"")</f>
        <v/>
      </c>
      <c r="H25" s="13">
        <f t="array" ref="H25">IFERROR(INDEX(Scoring!T$3:T$32,MATCH(24,Scoring!V$3:V$32,0)),"")</f>
        <v/>
      </c>
    </row>
    <row r="26" ht="15.75" customHeight="1" s="31">
      <c r="A26" s="11" t="n">
        <v>25</v>
      </c>
      <c r="B26" s="12">
        <f t="array" ref="B26">IFERROR(INDEX(Scoring!B$3:B$32,MATCH(25,Scoring!V$3:V$32,0)),"")</f>
        <v/>
      </c>
      <c r="C26" s="12">
        <f t="array" ref="C26">IFERROR(INDEX(Scoring!C$3:C$32,MATCH(25,Scoring!V$3:V$32,0)),"")</f>
        <v/>
      </c>
      <c r="D26" s="12">
        <f t="array" ref="D26">IFERROR(INDEX(Scoring!D$3:D$32,MATCH(25,Scoring!V$3:V$32,0)),"")</f>
        <v/>
      </c>
      <c r="E26" s="13">
        <f t="array" ref="E26">IFERROR(INDEX(Scoring!E$3:E$32,MATCH(25,Scoring!V$3:V$32,0)),"")</f>
        <v/>
      </c>
      <c r="F26" s="13">
        <f t="array" ref="F26">IFERROR(INDEX(Scoring!F$3:F$32,MATCH(25,Scoring!V$3:V$32,0)),"")</f>
        <v/>
      </c>
      <c r="G26" s="14">
        <f t="array" ref="G26">IFERROR(INDEX(Scoring!U$3:U$32,MATCH(25,Scoring!V$3:V$32,0)),"")</f>
        <v/>
      </c>
      <c r="H26" s="13">
        <f t="array" ref="H26">IFERROR(INDEX(Scoring!T$3:T$32,MATCH(25,Scoring!V$3:V$32,0)),"")</f>
        <v/>
      </c>
    </row>
    <row r="27" ht="15.75" customHeight="1" s="31">
      <c r="A27" s="11" t="n">
        <v>26</v>
      </c>
      <c r="B27" s="12">
        <f t="array" ref="B27">IFERROR(INDEX(Scoring!B$3:B$32,MATCH(26,Scoring!V$3:V$32,0)),"")</f>
        <v/>
      </c>
      <c r="C27" s="12">
        <f t="array" ref="C27">IFERROR(INDEX(Scoring!C$3:C$32,MATCH(26,Scoring!V$3:V$32,0)),"")</f>
        <v/>
      </c>
      <c r="D27" s="12">
        <f t="array" ref="D27">IFERROR(INDEX(Scoring!D$3:D$32,MATCH(26,Scoring!V$3:V$32,0)),"")</f>
        <v/>
      </c>
      <c r="E27" s="13">
        <f t="array" ref="E27">IFERROR(INDEX(Scoring!E$3:E$32,MATCH(26,Scoring!V$3:V$32,0)),"")</f>
        <v/>
      </c>
      <c r="F27" s="13">
        <f t="array" ref="F27">IFERROR(INDEX(Scoring!F$3:F$32,MATCH(26,Scoring!V$3:V$32,0)),"")</f>
        <v/>
      </c>
      <c r="G27" s="14">
        <f t="array" ref="G27">IFERROR(INDEX(Scoring!U$3:U$32,MATCH(26,Scoring!V$3:V$32,0)),"")</f>
        <v/>
      </c>
      <c r="H27" s="13">
        <f t="array" ref="H27">IFERROR(INDEX(Scoring!T$3:T$32,MATCH(26,Scoring!V$3:V$32,0)),"")</f>
        <v/>
      </c>
    </row>
    <row r="28" ht="15.75" customHeight="1" s="31">
      <c r="A28" s="11" t="n">
        <v>27</v>
      </c>
      <c r="B28" s="12">
        <f t="array" ref="B28">IFERROR(INDEX(Scoring!B$3:B$32,MATCH(27,Scoring!V$3:V$32,0)),"")</f>
        <v/>
      </c>
      <c r="C28" s="12">
        <f t="array" ref="C28">IFERROR(INDEX(Scoring!C$3:C$32,MATCH(27,Scoring!V$3:V$32,0)),"")</f>
        <v/>
      </c>
      <c r="D28" s="12">
        <f t="array" ref="D28">IFERROR(INDEX(Scoring!D$3:D$32,MATCH(27,Scoring!V$3:V$32,0)),"")</f>
        <v/>
      </c>
      <c r="E28" s="13">
        <f t="array" ref="E28">IFERROR(INDEX(Scoring!E$3:E$32,MATCH(27,Scoring!V$3:V$32,0)),"")</f>
        <v/>
      </c>
      <c r="F28" s="13">
        <f t="array" ref="F28">IFERROR(INDEX(Scoring!F$3:F$32,MATCH(27,Scoring!V$3:V$32,0)),"")</f>
        <v/>
      </c>
      <c r="G28" s="14">
        <f t="array" ref="G28">IFERROR(INDEX(Scoring!U$3:U$32,MATCH(27,Scoring!V$3:V$32,0)),"")</f>
        <v/>
      </c>
      <c r="H28" s="13">
        <f t="array" ref="H28">IFERROR(INDEX(Scoring!T$3:T$32,MATCH(27,Scoring!V$3:V$32,0)),"")</f>
        <v/>
      </c>
    </row>
    <row r="29" ht="15.75" customHeight="1" s="31">
      <c r="A29" s="11" t="n">
        <v>28</v>
      </c>
      <c r="B29" s="12">
        <f t="array" ref="B29">IFERROR(INDEX(Scoring!B$3:B$32,MATCH(28,Scoring!V$3:V$32,0)),"")</f>
        <v/>
      </c>
      <c r="C29" s="12">
        <f t="array" ref="C29">IFERROR(INDEX(Scoring!C$3:C$32,MATCH(28,Scoring!V$3:V$32,0)),"")</f>
        <v/>
      </c>
      <c r="D29" s="12">
        <f t="array" ref="D29">IFERROR(INDEX(Scoring!D$3:D$32,MATCH(28,Scoring!V$3:V$32,0)),"")</f>
        <v/>
      </c>
      <c r="E29" s="13">
        <f t="array" ref="E29">IFERROR(INDEX(Scoring!E$3:E$32,MATCH(28,Scoring!V$3:V$32,0)),"")</f>
        <v/>
      </c>
      <c r="F29" s="13">
        <f t="array" ref="F29">IFERROR(INDEX(Scoring!F$3:F$32,MATCH(28,Scoring!V$3:V$32,0)),"")</f>
        <v/>
      </c>
      <c r="G29" s="14">
        <f t="array" ref="G29">IFERROR(INDEX(Scoring!U$3:U$32,MATCH(28,Scoring!V$3:V$32,0)),"")</f>
        <v/>
      </c>
      <c r="H29" s="13">
        <f t="array" ref="H29">IFERROR(INDEX(Scoring!T$3:T$32,MATCH(28,Scoring!V$3:V$32,0)),"")</f>
        <v/>
      </c>
    </row>
    <row r="30" ht="15.75" customHeight="1" s="31">
      <c r="A30" s="11" t="n">
        <v>29</v>
      </c>
      <c r="B30" s="12">
        <f t="array" ref="B30">IFERROR(INDEX(Scoring!B$3:B$32,MATCH(29,Scoring!V$3:V$32,0)),"")</f>
        <v/>
      </c>
      <c r="C30" s="12">
        <f t="array" ref="C30">IFERROR(INDEX(Scoring!C$3:C$32,MATCH(29,Scoring!V$3:V$32,0)),"")</f>
        <v/>
      </c>
      <c r="D30" s="12">
        <f t="array" ref="D30">IFERROR(INDEX(Scoring!D$3:D$32,MATCH(29,Scoring!V$3:V$32,0)),"")</f>
        <v/>
      </c>
      <c r="E30" s="13">
        <f t="array" ref="E30">IFERROR(INDEX(Scoring!E$3:E$32,MATCH(29,Scoring!V$3:V$32,0)),"")</f>
        <v/>
      </c>
      <c r="F30" s="13">
        <f t="array" ref="F30">IFERROR(INDEX(Scoring!F$3:F$32,MATCH(29,Scoring!V$3:V$32,0)),"")</f>
        <v/>
      </c>
      <c r="G30" s="14">
        <f t="array" ref="G30">IFERROR(INDEX(Scoring!U$3:U$32,MATCH(29,Scoring!V$3:V$32,0)),"")</f>
        <v/>
      </c>
      <c r="H30" s="13">
        <f t="array" ref="H30">IFERROR(INDEX(Scoring!T$3:T$32,MATCH(29,Scoring!V$3:V$32,0)),"")</f>
        <v/>
      </c>
    </row>
    <row r="31" ht="15.75" customHeight="1" s="31">
      <c r="A31" s="11" t="n">
        <v>30</v>
      </c>
      <c r="B31" s="12">
        <f t="array" ref="B31">IFERROR(INDEX(Scoring!B$3:B$32,MATCH(30,Scoring!V$3:V$32,0)),"")</f>
        <v/>
      </c>
      <c r="C31" s="12">
        <f t="array" ref="C31">IFERROR(INDEX(Scoring!C$3:C$32,MATCH(30,Scoring!V$3:V$32,0)),"")</f>
        <v/>
      </c>
      <c r="D31" s="12">
        <f t="array" ref="D31">IFERROR(INDEX(Scoring!D$3:D$32,MATCH(30,Scoring!V$3:V$32,0)),"")</f>
        <v/>
      </c>
      <c r="E31" s="13">
        <f t="array" ref="E31">IFERROR(INDEX(Scoring!E$3:E$32,MATCH(30,Scoring!V$3:V$32,0)),"")</f>
        <v/>
      </c>
      <c r="F31" s="13">
        <f t="array" ref="F31">IFERROR(INDEX(Scoring!F$3:F$32,MATCH(30,Scoring!V$3:V$32,0)),"")</f>
        <v/>
      </c>
      <c r="G31" s="14">
        <f t="array" ref="G31">IFERROR(INDEX(Scoring!U$3:U$32,MATCH(30,Scoring!V$3:V$32,0)),"")</f>
        <v/>
      </c>
      <c r="H31" s="13">
        <f t="array" ref="H31">IFERROR(INDEX(Scoring!T$3:T$32,MATCH(30,Scoring!V$3:V$32,0)),"")</f>
        <v/>
      </c>
    </row>
    <row r="32" ht="15.75" customHeight="1" s="31"/>
    <row r="33" ht="15.75" customHeight="1" s="31"/>
    <row r="34" ht="15.75" customHeight="1" s="31">
      <c r="A34" s="30" t="inlineStr">
        <is>
          <t>Disqualified Candidates</t>
        </is>
      </c>
    </row>
    <row r="35" ht="15.75" customHeight="1" s="31">
      <c r="B35" s="15">
        <f t="array" ref="B35">IFERROR(INDEX(Scoring!B$3:B$32,SMALL(Scoring!AD$3:AD$32,1)),"")</f>
        <v/>
      </c>
      <c r="C35" s="15">
        <f t="array" ref="C35">IFERROR(INDEX(Scoring!C$3:C$32,SMALL(Scoring!AD$3:AD$32,1)),"")</f>
        <v/>
      </c>
      <c r="D35" s="15">
        <f t="array" ref="D35">IFERROR(INDEX(Scoring!W$3:W$32,SMALL(Scoring!AD$3:AD$32,1)),"")</f>
        <v/>
      </c>
    </row>
    <row r="36" ht="15.75" customHeight="1" s="31">
      <c r="B36" s="15">
        <f t="array" ref="B36">IFERROR(INDEX(Scoring!B$3:B$32,SMALL(Scoring!AD$3:AD$32,2)),"")</f>
        <v/>
      </c>
      <c r="C36" s="15">
        <f t="array" ref="C36">IFERROR(INDEX(Scoring!C$3:C$32,SMALL(Scoring!AD$3:AD$32,2)),"")</f>
        <v/>
      </c>
      <c r="D36" s="15">
        <f t="array" ref="D36">IFERROR(INDEX(Scoring!W$3:W$32,SMALL(Scoring!AD$3:AD$32,2)),"")</f>
        <v/>
      </c>
    </row>
    <row r="37" ht="15.75" customHeight="1" s="31">
      <c r="B37" s="15">
        <f t="array" ref="B37">IFERROR(INDEX(Scoring!B$3:B$32,SMALL(Scoring!AD$3:AD$32,3)),"")</f>
        <v/>
      </c>
      <c r="C37" s="15">
        <f t="array" ref="C37">IFERROR(INDEX(Scoring!C$3:C$32,SMALL(Scoring!AD$3:AD$32,3)),"")</f>
        <v/>
      </c>
      <c r="D37" s="15">
        <f t="array" ref="D37">IFERROR(INDEX(Scoring!W$3:W$32,SMALL(Scoring!AD$3:AD$32,3)),"")</f>
        <v/>
      </c>
    </row>
    <row r="38" ht="15.75" customHeight="1" s="31">
      <c r="B38" s="15">
        <f t="array" ref="B38">IFERROR(INDEX(Scoring!B$3:B$32,SMALL(Scoring!AD$3:AD$32,4)),"")</f>
        <v/>
      </c>
      <c r="C38" s="15">
        <f t="array" ref="C38">IFERROR(INDEX(Scoring!C$3:C$32,SMALL(Scoring!AD$3:AD$32,4)),"")</f>
        <v/>
      </c>
      <c r="D38" s="15">
        <f t="array" ref="D38">IFERROR(INDEX(Scoring!W$3:W$32,SMALL(Scoring!AD$3:AD$32,4)),"")</f>
        <v/>
      </c>
    </row>
    <row r="39" ht="15.75" customHeight="1" s="31">
      <c r="B39" s="15">
        <f t="array" ref="B39">IFERROR(INDEX(Scoring!B$3:B$32,SMALL(Scoring!AD$3:AD$32,5)),"")</f>
        <v/>
      </c>
      <c r="C39" s="15">
        <f t="array" ref="C39">IFERROR(INDEX(Scoring!C$3:C$32,SMALL(Scoring!AD$3:AD$32,5)),"")</f>
        <v/>
      </c>
      <c r="D39" s="15">
        <f t="array" ref="D39">IFERROR(INDEX(Scoring!W$3:W$32,SMALL(Scoring!AD$3:AD$32,5)),"")</f>
        <v/>
      </c>
    </row>
    <row r="40" ht="15.75" customHeight="1" s="31">
      <c r="B40" s="15">
        <f t="array" ref="B40">IFERROR(INDEX(Scoring!B$3:B$32,SMALL(Scoring!AD$3:AD$32,6)),"")</f>
        <v/>
      </c>
      <c r="C40" s="15">
        <f t="array" ref="C40">IFERROR(INDEX(Scoring!C$3:C$32,SMALL(Scoring!AD$3:AD$32,6)),"")</f>
        <v/>
      </c>
      <c r="D40" s="15">
        <f t="array" ref="D40">IFERROR(INDEX(Scoring!W$3:W$32,SMALL(Scoring!AD$3:AD$32,6)),"")</f>
        <v/>
      </c>
    </row>
    <row r="41" ht="15.75" customHeight="1" s="31">
      <c r="B41" s="15">
        <f t="array" ref="B41">IFERROR(INDEX(Scoring!B$3:B$32,SMALL(Scoring!AD$3:AD$32,7)),"")</f>
        <v/>
      </c>
      <c r="C41" s="15">
        <f t="array" ref="C41">IFERROR(INDEX(Scoring!C$3:C$32,SMALL(Scoring!AD$3:AD$32,7)),"")</f>
        <v/>
      </c>
      <c r="D41" s="15">
        <f t="array" ref="D41">IFERROR(INDEX(Scoring!W$3:W$32,SMALL(Scoring!AD$3:AD$32,7)),"")</f>
        <v/>
      </c>
    </row>
    <row r="42" ht="15.75" customHeight="1" s="31">
      <c r="B42" s="15">
        <f t="array" ref="B42">IFERROR(INDEX(Scoring!B$3:B$32,SMALL(Scoring!AD$3:AD$32,8)),"")</f>
        <v/>
      </c>
      <c r="C42" s="15">
        <f t="array" ref="C42">IFERROR(INDEX(Scoring!C$3:C$32,SMALL(Scoring!AD$3:AD$32,8)),"")</f>
        <v/>
      </c>
      <c r="D42" s="15">
        <f t="array" ref="D42">IFERROR(INDEX(Scoring!W$3:W$32,SMALL(Scoring!AD$3:AD$32,8)),"")</f>
        <v/>
      </c>
    </row>
    <row r="43" ht="15.75" customHeight="1" s="31">
      <c r="B43" s="15">
        <f t="array" ref="B43">IFERROR(INDEX(Scoring!B$3:B$32,SMALL(Scoring!AD$3:AD$32,9)),"")</f>
        <v/>
      </c>
      <c r="C43" s="15">
        <f t="array" ref="C43">IFERROR(INDEX(Scoring!C$3:C$32,SMALL(Scoring!AD$3:AD$32,9)),"")</f>
        <v/>
      </c>
      <c r="D43" s="15">
        <f t="array" ref="D43">IFERROR(INDEX(Scoring!W$3:W$32,SMALL(Scoring!AD$3:AD$32,9)),"")</f>
        <v/>
      </c>
    </row>
    <row r="44" ht="15.75" customHeight="1" s="31">
      <c r="B44" s="15">
        <f t="array" ref="B44">IFERROR(INDEX(Scoring!B$3:B$32,SMALL(Scoring!AD$3:AD$32,10)),"")</f>
        <v/>
      </c>
      <c r="C44" s="15">
        <f t="array" ref="C44">IFERROR(INDEX(Scoring!C$3:C$32,SMALL(Scoring!AD$3:AD$32,10)),"")</f>
        <v/>
      </c>
      <c r="D44" s="15">
        <f t="array" ref="D44">IFERROR(INDEX(Scoring!W$3:W$32,SMALL(Scoring!AD$3:AD$32,10)),"")</f>
        <v/>
      </c>
    </row>
    <row r="45" ht="15.75" customHeight="1" s="31">
      <c r="B45" s="15">
        <f t="array" ref="B45">IFERROR(INDEX(Scoring!B$3:B$32,SMALL(Scoring!AD$3:AD$32,11)),"")</f>
        <v/>
      </c>
      <c r="C45" s="15">
        <f t="array" ref="C45">IFERROR(INDEX(Scoring!C$3:C$32,SMALL(Scoring!AD$3:AD$32,11)),"")</f>
        <v/>
      </c>
      <c r="D45" s="15">
        <f t="array" ref="D45">IFERROR(INDEX(Scoring!W$3:W$32,SMALL(Scoring!AD$3:AD$32,11)),"")</f>
        <v/>
      </c>
    </row>
    <row r="46" ht="15.75" customHeight="1" s="31">
      <c r="B46" s="15">
        <f t="array" ref="B46">IFERROR(INDEX(Scoring!B$3:B$32,SMALL(Scoring!AD$3:AD$32,12)),"")</f>
        <v/>
      </c>
      <c r="C46" s="15">
        <f t="array" ref="C46">IFERROR(INDEX(Scoring!C$3:C$32,SMALL(Scoring!AD$3:AD$32,12)),"")</f>
        <v/>
      </c>
      <c r="D46" s="15">
        <f t="array" ref="D46">IFERROR(INDEX(Scoring!W$3:W$32,SMALL(Scoring!AD$3:AD$32,12)),"")</f>
        <v/>
      </c>
    </row>
    <row r="47" ht="15.75" customHeight="1" s="31">
      <c r="B47" s="15">
        <f t="array" ref="B47">IFERROR(INDEX(Scoring!B$3:B$32,SMALL(Scoring!AD$3:AD$32,13)),"")</f>
        <v/>
      </c>
      <c r="C47" s="15">
        <f t="array" ref="C47">IFERROR(INDEX(Scoring!C$3:C$32,SMALL(Scoring!AD$3:AD$32,13)),"")</f>
        <v/>
      </c>
      <c r="D47" s="15">
        <f t="array" ref="D47">IFERROR(INDEX(Scoring!W$3:W$32,SMALL(Scoring!AD$3:AD$32,13)),"")</f>
        <v/>
      </c>
    </row>
    <row r="48" ht="15.75" customHeight="1" s="31">
      <c r="B48" s="15">
        <f t="array" ref="B48">IFERROR(INDEX(Scoring!B$3:B$32,SMALL(Scoring!AD$3:AD$32,14)),"")</f>
        <v/>
      </c>
      <c r="C48" s="15">
        <f t="array" ref="C48">IFERROR(INDEX(Scoring!C$3:C$32,SMALL(Scoring!AD$3:AD$32,14)),"")</f>
        <v/>
      </c>
      <c r="D48" s="15">
        <f t="array" ref="D48">IFERROR(INDEX(Scoring!W$3:W$32,SMALL(Scoring!AD$3:AD$32,14)),"")</f>
        <v/>
      </c>
    </row>
    <row r="49" ht="15.75" customHeight="1" s="31">
      <c r="B49" s="15">
        <f t="array" ref="B49">IFERROR(INDEX(Scoring!B$3:B$32,SMALL(Scoring!AD$3:AD$32,15)),"")</f>
        <v/>
      </c>
      <c r="C49" s="15">
        <f t="array" ref="C49">IFERROR(INDEX(Scoring!C$3:C$32,SMALL(Scoring!AD$3:AD$32,15)),"")</f>
        <v/>
      </c>
      <c r="D49" s="15">
        <f t="array" ref="D49">IFERROR(INDEX(Scoring!W$3:W$32,SMALL(Scoring!AD$3:AD$32,15)),"")</f>
        <v/>
      </c>
    </row>
    <row r="50" ht="15.75" customHeight="1" s="31">
      <c r="B50" s="15">
        <f t="array" ref="B50">IFERROR(INDEX(Scoring!B$3:B$32,SMALL(Scoring!AD$3:AD$32,16)),"")</f>
        <v/>
      </c>
      <c r="C50" s="15">
        <f t="array" ref="C50">IFERROR(INDEX(Scoring!C$3:C$32,SMALL(Scoring!AD$3:AD$32,16)),"")</f>
        <v/>
      </c>
      <c r="D50" s="15">
        <f t="array" ref="D50">IFERROR(INDEX(Scoring!W$3:W$32,SMALL(Scoring!AD$3:AD$32,16)),"")</f>
        <v/>
      </c>
    </row>
    <row r="51" ht="15.75" customHeight="1" s="31">
      <c r="B51" s="15">
        <f t="array" ref="B51">IFERROR(INDEX(Scoring!B$3:B$32,SMALL(Scoring!AD$3:AD$32,17)),"")</f>
        <v/>
      </c>
      <c r="C51" s="15">
        <f t="array" ref="C51">IFERROR(INDEX(Scoring!C$3:C$32,SMALL(Scoring!AD$3:AD$32,17)),"")</f>
        <v/>
      </c>
      <c r="D51" s="15">
        <f t="array" ref="D51">IFERROR(INDEX(Scoring!W$3:W$32,SMALL(Scoring!AD$3:AD$32,17)),"")</f>
        <v/>
      </c>
    </row>
    <row r="52" ht="15.75" customHeight="1" s="31">
      <c r="B52" s="15">
        <f t="array" ref="B52">IFERROR(INDEX(Scoring!B$3:B$32,SMALL(Scoring!AD$3:AD$32,18)),"")</f>
        <v/>
      </c>
      <c r="C52" s="15">
        <f t="array" ref="C52">IFERROR(INDEX(Scoring!C$3:C$32,SMALL(Scoring!AD$3:AD$32,18)),"")</f>
        <v/>
      </c>
      <c r="D52" s="15">
        <f t="array" ref="D52">IFERROR(INDEX(Scoring!W$3:W$32,SMALL(Scoring!AD$3:AD$32,18)),"")</f>
        <v/>
      </c>
    </row>
    <row r="53" ht="15.75" customHeight="1" s="31">
      <c r="B53" s="15">
        <f t="array" ref="B53">IFERROR(INDEX(Scoring!B$3:B$32,SMALL(Scoring!AD$3:AD$32,19)),"")</f>
        <v/>
      </c>
      <c r="C53" s="15">
        <f t="array" ref="C53">IFERROR(INDEX(Scoring!C$3:C$32,SMALL(Scoring!AD$3:AD$32,19)),"")</f>
        <v/>
      </c>
      <c r="D53" s="15">
        <f t="array" ref="D53">IFERROR(INDEX(Scoring!W$3:W$32,SMALL(Scoring!AD$3:AD$32,19)),"")</f>
        <v/>
      </c>
    </row>
    <row r="54" ht="15.75" customHeight="1" s="31">
      <c r="B54" s="15">
        <f t="array" ref="B54">IFERROR(INDEX(Scoring!B$3:B$32,SMALL(Scoring!AD$3:AD$32,20)),"")</f>
        <v/>
      </c>
      <c r="C54" s="15">
        <f t="array" ref="C54">IFERROR(INDEX(Scoring!C$3:C$32,SMALL(Scoring!AD$3:AD$32,20)),"")</f>
        <v/>
      </c>
      <c r="D54" s="15">
        <f t="array" ref="D54">IFERROR(INDEX(Scoring!W$3:W$32,SMALL(Scoring!AD$3:AD$32,20)),"")</f>
        <v/>
      </c>
    </row>
    <row r="55" ht="15.75" customHeight="1" s="31">
      <c r="B55" s="15">
        <f t="array" ref="B55">IFERROR(INDEX(Scoring!B$3:B$32,SMALL(Scoring!AD$3:AD$32,21)),"")</f>
        <v/>
      </c>
      <c r="C55" s="15">
        <f t="array" ref="C55">IFERROR(INDEX(Scoring!C$3:C$32,SMALL(Scoring!AD$3:AD$32,21)),"")</f>
        <v/>
      </c>
      <c r="D55" s="15">
        <f t="array" ref="D55">IFERROR(INDEX(Scoring!W$3:W$32,SMALL(Scoring!AD$3:AD$32,21)),"")</f>
        <v/>
      </c>
    </row>
    <row r="56" ht="15.75" customHeight="1" s="31">
      <c r="B56" s="15">
        <f t="array" ref="B56">IFERROR(INDEX(Scoring!B$3:B$32,SMALL(Scoring!AD$3:AD$32,22)),"")</f>
        <v/>
      </c>
      <c r="C56" s="15">
        <f t="array" ref="C56">IFERROR(INDEX(Scoring!C$3:C$32,SMALL(Scoring!AD$3:AD$32,22)),"")</f>
        <v/>
      </c>
      <c r="D56" s="15">
        <f t="array" ref="D56">IFERROR(INDEX(Scoring!W$3:W$32,SMALL(Scoring!AD$3:AD$32,22)),"")</f>
        <v/>
      </c>
    </row>
    <row r="57" ht="15.75" customHeight="1" s="31">
      <c r="B57" s="15">
        <f t="array" ref="B57">IFERROR(INDEX(Scoring!B$3:B$32,SMALL(Scoring!AD$3:AD$32,23)),"")</f>
        <v/>
      </c>
      <c r="C57" s="15">
        <f t="array" ref="C57">IFERROR(INDEX(Scoring!C$3:C$32,SMALL(Scoring!AD$3:AD$32,23)),"")</f>
        <v/>
      </c>
      <c r="D57" s="15">
        <f t="array" ref="D57">IFERROR(INDEX(Scoring!W$3:W$32,SMALL(Scoring!AD$3:AD$32,23)),"")</f>
        <v/>
      </c>
    </row>
    <row r="58" ht="15.75" customHeight="1" s="31">
      <c r="B58" s="15">
        <f t="array" ref="B58">IFERROR(INDEX(Scoring!B$3:B$32,SMALL(Scoring!AD$3:AD$32,24)),"")</f>
        <v/>
      </c>
      <c r="C58" s="15">
        <f t="array" ref="C58">IFERROR(INDEX(Scoring!C$3:C$32,SMALL(Scoring!AD$3:AD$32,24)),"")</f>
        <v/>
      </c>
      <c r="D58" s="15">
        <f t="array" ref="D58">IFERROR(INDEX(Scoring!W$3:W$32,SMALL(Scoring!AD$3:AD$32,24)),"")</f>
        <v/>
      </c>
    </row>
    <row r="59" ht="15.75" customHeight="1" s="31">
      <c r="B59" s="15">
        <f t="array" ref="B59">IFERROR(INDEX(Scoring!B$3:B$32,SMALL(Scoring!AD$3:AD$32,25)),"")</f>
        <v/>
      </c>
      <c r="C59" s="15">
        <f t="array" ref="C59">IFERROR(INDEX(Scoring!C$3:C$32,SMALL(Scoring!AD$3:AD$32,25)),"")</f>
        <v/>
      </c>
      <c r="D59" s="15">
        <f t="array" ref="D59">IFERROR(INDEX(Scoring!W$3:W$32,SMALL(Scoring!AD$3:AD$32,25)),"")</f>
        <v/>
      </c>
    </row>
    <row r="60" ht="15.75" customHeight="1" s="31">
      <c r="B60" s="15">
        <f t="array" ref="B60">IFERROR(INDEX(Scoring!B$3:B$32,SMALL(Scoring!AD$3:AD$32,26)),"")</f>
        <v/>
      </c>
      <c r="C60" s="15">
        <f t="array" ref="C60">IFERROR(INDEX(Scoring!C$3:C$32,SMALL(Scoring!AD$3:AD$32,26)),"")</f>
        <v/>
      </c>
      <c r="D60" s="15">
        <f t="array" ref="D60">IFERROR(INDEX(Scoring!W$3:W$32,SMALL(Scoring!AD$3:AD$32,26)),"")</f>
        <v/>
      </c>
    </row>
    <row r="61" ht="15.75" customHeight="1" s="31">
      <c r="B61" s="15">
        <f t="array" ref="B61">IFERROR(INDEX(Scoring!B$3:B$32,SMALL(Scoring!AD$3:AD$32,27)),"")</f>
        <v/>
      </c>
      <c r="C61" s="15">
        <f t="array" ref="C61">IFERROR(INDEX(Scoring!C$3:C$32,SMALL(Scoring!AD$3:AD$32,27)),"")</f>
        <v/>
      </c>
      <c r="D61" s="15">
        <f t="array" ref="D61">IFERROR(INDEX(Scoring!W$3:W$32,SMALL(Scoring!AD$3:AD$32,27)),"")</f>
        <v/>
      </c>
    </row>
    <row r="62" ht="15.75" customHeight="1" s="31">
      <c r="B62" s="15">
        <f t="array" ref="B62">IFERROR(INDEX(Scoring!B$3:B$32,SMALL(Scoring!AD$3:AD$32,28)),"")</f>
        <v/>
      </c>
      <c r="C62" s="15">
        <f t="array" ref="C62">IFERROR(INDEX(Scoring!C$3:C$32,SMALL(Scoring!AD$3:AD$32,28)),"")</f>
        <v/>
      </c>
      <c r="D62" s="15">
        <f t="array" ref="D62">IFERROR(INDEX(Scoring!W$3:W$32,SMALL(Scoring!AD$3:AD$32,28)),"")</f>
        <v/>
      </c>
    </row>
    <row r="63" ht="15.75" customHeight="1" s="31">
      <c r="B63" s="15">
        <f t="array" ref="B63">IFERROR(INDEX(Scoring!B$3:B$32,SMALL(Scoring!AD$3:AD$32,29)),"")</f>
        <v/>
      </c>
      <c r="C63" s="15">
        <f t="array" ref="C63">IFERROR(INDEX(Scoring!C$3:C$32,SMALL(Scoring!AD$3:AD$32,29)),"")</f>
        <v/>
      </c>
      <c r="D63" s="15">
        <f t="array" ref="D63">IFERROR(INDEX(Scoring!W$3:W$32,SMALL(Scoring!AD$3:AD$32,29)),"")</f>
        <v/>
      </c>
    </row>
    <row r="64" ht="15.75" customHeight="1" s="31">
      <c r="B64" s="15">
        <f t="array" ref="B64">IFERROR(INDEX(Scoring!B$3:B$32,SMALL(Scoring!AD$3:AD$32,30)),"")</f>
        <v/>
      </c>
      <c r="C64" s="15">
        <f t="array" ref="C64">IFERROR(INDEX(Scoring!C$3:C$32,SMALL(Scoring!AD$3:AD$32,30)),"")</f>
        <v/>
      </c>
      <c r="D64" s="15">
        <f t="array" ref="D64">IFERROR(INDEX(Scoring!W$3:W$32,SMALL(Scoring!AD$3:AD$32,30)),"")</f>
        <v/>
      </c>
    </row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1">
    <mergeCell ref="A34:H34"/>
  </mergeCells>
  <conditionalFormatting sqref="G2:G31">
    <cfRule type="colorScale" priority="1">
      <colorScale>
        <cfvo type="formula" val="40"/>
        <cfvo type="formula" val="65"/>
        <cfvo type="formula" val="85"/>
        <color rgb="FFF8696B"/>
        <color rgb="FFFFEB84"/>
        <color rgb="FF63BE7B"/>
      </colorScale>
    </cfRule>
  </conditionalFormatting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30" customWidth="1" style="31" min="1" max="1"/>
    <col width="12" customWidth="1" style="31" min="2" max="2"/>
    <col width="65" customWidth="1" style="31" min="3" max="3"/>
    <col width="8.7109375" customWidth="1" style="31" min="4" max="26"/>
  </cols>
  <sheetData>
    <row r="1" ht="30" customHeight="1" s="31">
      <c r="A1" s="4" t="inlineStr">
        <is>
          <t>Criterion</t>
        </is>
      </c>
      <c r="B1" s="4" t="inlineStr">
        <is>
          <t>Weight (%)</t>
        </is>
      </c>
      <c r="C1" s="4" t="inlineStr">
        <is>
          <t>Notes</t>
        </is>
      </c>
    </row>
    <row r="2">
      <c r="A2" s="16" t="inlineStr">
        <is>
          <t>University Tier</t>
        </is>
      </c>
      <c r="B2" s="7" t="n">
        <v>3</v>
      </c>
      <c r="C2" s="17" t="inlineStr">
        <is>
          <t>Low weight — tier influences but doesn't dominate</t>
        </is>
      </c>
    </row>
    <row r="3">
      <c r="A3" s="16" t="inlineStr">
        <is>
          <t>Department Fit</t>
        </is>
      </c>
      <c r="B3" s="7" t="n">
        <v>3</v>
      </c>
      <c r="C3" s="17" t="inlineStr">
        <is>
          <t>Low weight — coursework + projects matter more</t>
        </is>
      </c>
    </row>
    <row r="4">
      <c r="A4" s="16" t="inlineStr">
        <is>
          <t>GPA</t>
        </is>
      </c>
      <c r="B4" s="7" t="n">
        <v>5</v>
      </c>
      <c r="C4" s="17" t="inlineStr">
        <is>
          <t>Mapped from 0–4 scale to 1–5</t>
        </is>
      </c>
    </row>
    <row r="5">
      <c r="A5" s="16" t="inlineStr">
        <is>
          <t>Academic Recency</t>
        </is>
      </c>
      <c r="B5" s="7" t="n">
        <v>4</v>
      </c>
      <c r="C5" s="17" t="inlineStr">
        <is>
          <t>Penalty for long gaps since graduation with no relevant work</t>
        </is>
      </c>
    </row>
    <row r="6">
      <c r="A6" s="16" t="inlineStr">
        <is>
          <t>Teknofest / Competitions</t>
        </is>
      </c>
      <c r="B6" s="7" t="n">
        <v>6</v>
      </c>
      <c r="C6" s="17" t="inlineStr">
        <is>
          <t>None / Once / Multiple or podium</t>
        </is>
      </c>
    </row>
    <row r="7">
      <c r="A7" s="16" t="inlineStr">
        <is>
          <t>Real Project</t>
        </is>
      </c>
      <c r="B7" s="7" t="n">
        <v>15</v>
      </c>
      <c r="C7" s="17" t="inlineStr">
        <is>
          <t>Hands-on UAV/GNC/aero project they actually built or shipped</t>
        </is>
      </c>
    </row>
    <row r="8">
      <c r="A8" s="16" t="inlineStr">
        <is>
          <t>Portfolio Submitted</t>
        </is>
      </c>
      <c r="B8" s="7" t="n">
        <v>7</v>
      </c>
      <c r="C8" s="17" t="inlineStr">
        <is>
          <t>Quality of submitted portfolio/CV/work samples</t>
        </is>
      </c>
    </row>
    <row r="9">
      <c r="A9" s="16" t="inlineStr">
        <is>
          <t>Relevant Coursework</t>
        </is>
      </c>
      <c r="B9" s="7" t="n">
        <v>6</v>
      </c>
      <c r="C9" s="17" t="inlineStr">
        <is>
          <t>Controls, flight mechanics, aerodynamics, estimation</t>
        </is>
      </c>
    </row>
    <row r="10">
      <c r="A10" s="16" t="inlineStr">
        <is>
          <t>Tools Exposure</t>
        </is>
      </c>
      <c r="B10" s="7" t="n">
        <v>6</v>
      </c>
      <c r="C10" s="17" t="inlineStr">
        <is>
          <t>MATLAB/Simulink, Python, ArduPilot, XFLR5, AVL, SITL, ROS</t>
        </is>
      </c>
    </row>
    <row r="11">
      <c r="A11" s="16" t="inlineStr">
        <is>
          <t>RC/UAV Hands-on</t>
        </is>
      </c>
      <c r="B11" s="7" t="n">
        <v>5</v>
      </c>
      <c r="C11" s="17" t="inlineStr">
        <is>
          <t>Has built, flown, or maintained an RC aircraft / quad</t>
        </is>
      </c>
    </row>
    <row r="12">
      <c r="A12" s="16" t="inlineStr">
        <is>
          <t>English Level</t>
        </is>
      </c>
      <c r="B12" s="7" t="n">
        <v>3</v>
      </c>
      <c r="C12" s="17" t="inlineStr">
        <is>
          <t>Reading ArduPilot docs, papers, technical writing</t>
        </is>
      </c>
    </row>
    <row r="13">
      <c r="A13" s="16" t="inlineStr">
        <is>
          <t>HR Feedback</t>
        </is>
      </c>
      <c r="B13" s="7" t="n">
        <v>7</v>
      </c>
      <c r="C13" s="17" t="inlineStr">
        <is>
          <t>Soft skills, team fit, communication, motivation</t>
        </is>
      </c>
    </row>
    <row r="14">
      <c r="A14" s="16" t="inlineStr">
        <is>
          <t>Tech Interview (composite)</t>
        </is>
      </c>
      <c r="B14" s="7" t="n">
        <v>30</v>
      </c>
      <c r="C14" s="17" t="inlineStr">
        <is>
          <t>Average of 5 subscores: Controls, Math, Coding, Debugging, Communication</t>
        </is>
      </c>
    </row>
    <row r="15">
      <c r="A15" s="18" t="inlineStr">
        <is>
          <t>TOTAL</t>
        </is>
      </c>
      <c r="B15" s="19">
        <f>SUM(B2:B14)</f>
        <v/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conditionalFormatting sqref="B15">
    <cfRule type="cellIs" priority="1" operator="notEqual" dxfId="1">
      <formula>100</formula>
    </cfRule>
    <cfRule type="cellIs" priority="2" operator="equal" dxfId="0">
      <formula>100</formula>
    </cfRule>
  </conditionalFormatting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B2" sqref="B2"/>
    </sheetView>
  </sheetViews>
  <sheetFormatPr baseColWidth="8" defaultColWidth="14.42578125" defaultRowHeight="15" customHeight="1"/>
  <cols>
    <col width="28" customWidth="1" style="31" min="1" max="1"/>
    <col width="32" customWidth="1" style="31" min="2" max="6"/>
    <col width="8.7109375" customWidth="1" style="31" min="7" max="26"/>
  </cols>
  <sheetData>
    <row r="1" ht="30" customHeight="1" s="31">
      <c r="A1" s="4" t="inlineStr">
        <is>
          <t>Criterion</t>
        </is>
      </c>
      <c r="B1" s="4" t="inlineStr">
        <is>
          <t>Score 1 (Poor)</t>
        </is>
      </c>
      <c r="C1" s="4" t="inlineStr">
        <is>
          <t>Score 2</t>
        </is>
      </c>
      <c r="D1" s="4" t="inlineStr">
        <is>
          <t>Score 3 (Acceptable)</t>
        </is>
      </c>
      <c r="E1" s="4" t="inlineStr">
        <is>
          <t>Score 4</t>
        </is>
      </c>
      <c r="F1" s="4" t="inlineStr">
        <is>
          <t>Score 5 (Excellent)</t>
        </is>
      </c>
    </row>
    <row r="2" ht="45" customHeight="1" s="31">
      <c r="A2" s="20" t="inlineStr">
        <is>
          <t>University Tier</t>
        </is>
      </c>
      <c r="B2" s="12" t="inlineStr">
        <is>
          <t>Unknown / unranked</t>
        </is>
      </c>
      <c r="C2" s="12" t="inlineStr">
        <is>
          <t>Tier D</t>
        </is>
      </c>
      <c r="D2" s="12" t="inlineStr">
        <is>
          <t>Tier C</t>
        </is>
      </c>
      <c r="E2" s="12" t="inlineStr">
        <is>
          <t>Tier B</t>
        </is>
      </c>
      <c r="F2" s="12" t="inlineStr">
        <is>
          <t>Tier A (METU/ITU/Bilkent/Boğaziçi/Koç/Sabancı)</t>
        </is>
      </c>
    </row>
    <row r="3" ht="45" customHeight="1" s="31">
      <c r="A3" s="20" t="inlineStr">
        <is>
          <t>Department Fit</t>
        </is>
      </c>
      <c r="B3" s="12" t="inlineStr">
        <is>
          <t>Unrelated (e.g. business)</t>
        </is>
      </c>
      <c r="C3" s="12" t="inlineStr">
        <is>
          <t>Distant (CS, IE)</t>
        </is>
      </c>
      <c r="D3" s="12" t="inlineStr">
        <is>
          <t>Adjacent (ME, Mechatronics)</t>
        </is>
      </c>
      <c r="E3" s="12" t="inlineStr">
        <is>
          <t>Close (EE, Control)</t>
        </is>
      </c>
      <c r="F3" s="12" t="inlineStr">
        <is>
          <t>Direct (Aerospace, Aeronautical)</t>
        </is>
      </c>
    </row>
    <row r="4" ht="45" customHeight="1" s="31">
      <c r="A4" s="20" t="inlineStr">
        <is>
          <t>GPA</t>
        </is>
      </c>
      <c r="B4" s="12" t="inlineStr">
        <is>
          <t>&lt; 2.0</t>
        </is>
      </c>
      <c r="C4" s="12" t="inlineStr">
        <is>
          <t>2.0 – 2.49</t>
        </is>
      </c>
      <c r="D4" s="12" t="inlineStr">
        <is>
          <t>2.5 – 2.99</t>
        </is>
      </c>
      <c r="E4" s="12" t="inlineStr">
        <is>
          <t>3.0 – 3.49</t>
        </is>
      </c>
      <c r="F4" s="12" t="inlineStr">
        <is>
          <t>≥ 3.5</t>
        </is>
      </c>
    </row>
    <row r="5" ht="45" customHeight="1" s="31">
      <c r="A5" s="20" t="inlineStr">
        <is>
          <t>Academic Recency</t>
        </is>
      </c>
      <c r="B5" s="12" t="inlineStr">
        <is>
          <t>Graduated &gt;3 yrs ago, no relevant work</t>
        </is>
      </c>
      <c r="C5" s="12" t="inlineStr">
        <is>
          <t>Graduated 2–3 yrs ago, weak continuity</t>
        </is>
      </c>
      <c r="D5" s="12" t="inlineStr">
        <is>
          <t>Graduated 1–2 yrs ago / MSc gap</t>
        </is>
      </c>
      <c r="E5" s="12" t="inlineStr">
        <is>
          <t>Fresh grad (≤1 yr) or active MSc</t>
        </is>
      </c>
      <c r="F5" s="12" t="inlineStr">
        <is>
          <t>Currently 3rd/4th year or fresh grad with continuity</t>
        </is>
      </c>
    </row>
    <row r="6" ht="45" customHeight="1" s="31">
      <c r="A6" s="20" t="inlineStr">
        <is>
          <t>Teknofest / Competitions</t>
        </is>
      </c>
      <c r="B6" s="12" t="inlineStr">
        <is>
          <t>None</t>
        </is>
      </c>
      <c r="C6" s="12" t="inlineStr">
        <is>
          <t>Applied but didn't compete</t>
        </is>
      </c>
      <c r="D6" s="12" t="inlineStr">
        <is>
          <t>Participated once</t>
        </is>
      </c>
      <c r="E6" s="12" t="inlineStr">
        <is>
          <t>Participated multiple times</t>
        </is>
      </c>
      <c r="F6" s="12" t="inlineStr">
        <is>
          <t>Multiple participations + podium/finals</t>
        </is>
      </c>
    </row>
    <row r="7" ht="45" customHeight="1" s="31">
      <c r="A7" s="20" t="inlineStr">
        <is>
          <t>Real Project</t>
        </is>
      </c>
      <c r="B7" s="12" t="inlineStr">
        <is>
          <t>None / only coursework labs</t>
        </is>
      </c>
      <c r="C7" s="12" t="inlineStr">
        <is>
          <t>Small individual project, limited scope</t>
        </is>
      </c>
      <c r="D7" s="12" t="inlineStr">
        <is>
          <t>One real team project, basic outcome</t>
        </is>
      </c>
      <c r="E7" s="12" t="inlineStr">
        <is>
          <t>Multiple projects, real deliverables</t>
        </is>
      </c>
      <c r="F7" s="12" t="inlineStr">
        <is>
          <t>Shipped a working UAV/system, demonstrable results</t>
        </is>
      </c>
    </row>
    <row r="8" ht="45" customHeight="1" s="31">
      <c r="A8" s="20" t="inlineStr">
        <is>
          <t>Portfolio Submitted</t>
        </is>
      </c>
      <c r="B8" s="12" t="inlineStr">
        <is>
          <t>Not submitted / very weak</t>
        </is>
      </c>
      <c r="C8" s="12" t="inlineStr">
        <is>
          <t>CV only, no work samples</t>
        </is>
      </c>
      <c r="D8" s="12" t="inlineStr">
        <is>
          <t>Basic portfolio, some samples</t>
        </is>
      </c>
      <c r="E8" s="12" t="inlineStr">
        <is>
          <t>Strong portfolio with code/reports</t>
        </is>
      </c>
      <c r="F8" s="12" t="inlineStr">
        <is>
          <t>Excellent — code, reports, videos, results, well-organized</t>
        </is>
      </c>
    </row>
    <row r="9" ht="45" customHeight="1" s="31">
      <c r="A9" s="20" t="inlineStr">
        <is>
          <t>Relevant Coursework</t>
        </is>
      </c>
      <c r="B9" s="12" t="inlineStr">
        <is>
          <t>No GNC-adjacent courses</t>
        </is>
      </c>
      <c r="C9" s="12" t="inlineStr">
        <is>
          <t>1 relevant course</t>
        </is>
      </c>
      <c r="D9" s="12" t="inlineStr">
        <is>
          <t>2–3 relevant courses</t>
        </is>
      </c>
      <c r="E9" s="12" t="inlineStr">
        <is>
          <t>Most controls/aero/flight mech done</t>
        </is>
      </c>
      <c r="F9" s="12" t="inlineStr">
        <is>
          <t>All key courses + advanced electives (estimation, optimal control)</t>
        </is>
      </c>
    </row>
    <row r="10" ht="45" customHeight="1" s="31">
      <c r="A10" s="20" t="inlineStr">
        <is>
          <t>Tools Exposure</t>
        </is>
      </c>
      <c r="B10" s="12" t="inlineStr">
        <is>
          <t>None of our stack</t>
        </is>
      </c>
      <c r="C10" s="12" t="inlineStr">
        <is>
          <t>Knows MATLAB basics only</t>
        </is>
      </c>
      <c r="D10" s="12" t="inlineStr">
        <is>
          <t>MATLAB + Python OR Simulink basics</t>
        </is>
      </c>
      <c r="E10" s="12" t="inlineStr">
        <is>
          <t>Solid in MATLAB/Simulink + one domain tool (AVL/XFLR5/ArduPilot)</t>
        </is>
      </c>
      <c r="F10" s="12" t="inlineStr">
        <is>
          <t>Multiple tools fluent, has used SITL, log analysis, full pipeline</t>
        </is>
      </c>
    </row>
    <row r="11" ht="45" customHeight="1" s="31">
      <c r="A11" s="20" t="inlineStr">
        <is>
          <t>RC/UAV Hands-on</t>
        </is>
      </c>
      <c r="B11" s="12" t="inlineStr">
        <is>
          <t>Never touched an RC platform</t>
        </is>
      </c>
      <c r="C11" s="12" t="inlineStr">
        <is>
          <t>Has flown a toy drone</t>
        </is>
      </c>
      <c r="D11" s="12" t="inlineStr">
        <is>
          <t>Built a kit, basic soldering</t>
        </is>
      </c>
      <c r="E11" s="12" t="inlineStr">
        <is>
          <t>Built custom platform, tuned, flown</t>
        </is>
      </c>
      <c r="F11" s="12" t="inlineStr">
        <is>
          <t>Multiple custom builds, autopilot tuning, crash recovery, demonstrable</t>
        </is>
      </c>
    </row>
    <row r="12" ht="45" customHeight="1" s="31">
      <c r="A12" s="20" t="inlineStr">
        <is>
          <t>English Level</t>
        </is>
      </c>
      <c r="B12" s="12" t="inlineStr">
        <is>
          <t>Cannot read technical English</t>
        </is>
      </c>
      <c r="C12" s="12" t="inlineStr">
        <is>
          <t>Reads with difficulty</t>
        </is>
      </c>
      <c r="D12" s="12" t="inlineStr">
        <is>
          <t>Reads docs OK, weak writing</t>
        </is>
      </c>
      <c r="E12" s="12" t="inlineStr">
        <is>
          <t>Reads/writes well, OK speaking</t>
        </is>
      </c>
      <c r="F12" s="12" t="inlineStr">
        <is>
          <t>Fluent — can write reports, present, read papers fast</t>
        </is>
      </c>
    </row>
    <row r="13" ht="45" customHeight="1" s="31">
      <c r="A13" s="20" t="inlineStr">
        <is>
          <t>HR Feedback</t>
        </is>
      </c>
      <c r="B13" s="12" t="inlineStr">
        <is>
          <t>Red flags / poor fit</t>
        </is>
      </c>
      <c r="C13" s="12" t="inlineStr">
        <is>
          <t>Concerns about motivation or team fit</t>
        </is>
      </c>
      <c r="D13" s="12" t="inlineStr">
        <is>
          <t>Acceptable, no strong signal</t>
        </is>
      </c>
      <c r="E13" s="12" t="inlineStr">
        <is>
          <t>Positive — good attitude, motivated</t>
        </is>
      </c>
      <c r="F13" s="12" t="inlineStr">
        <is>
          <t>Excellent — clear motivation, great communication, strong team fit</t>
        </is>
      </c>
    </row>
    <row r="14" ht="45" customHeight="1" s="31">
      <c r="A14" s="20" t="inlineStr">
        <is>
          <t>Tech-Controls/GNC</t>
        </is>
      </c>
      <c r="B14" s="12" t="inlineStr">
        <is>
          <t>Cannot define PID or state-space</t>
        </is>
      </c>
      <c r="C14" s="12" t="inlineStr">
        <is>
          <t>Knows PID, struggles with frequency domain</t>
        </is>
      </c>
      <c r="D14" s="12" t="inlineStr">
        <is>
          <t>PID + basic state-space, knows Bode</t>
        </is>
      </c>
      <c r="E14" s="12" t="inlineStr">
        <is>
          <t>Solid on classical + intro modern control, understands EKF concept</t>
        </is>
      </c>
      <c r="F14" s="12" t="inlineStr">
        <is>
          <t>Strong on classical + modern + estimation, can derive and apply</t>
        </is>
      </c>
    </row>
    <row r="15" ht="45" customHeight="1" s="31">
      <c r="A15" s="20" t="inlineStr">
        <is>
          <t>Tech-Math/Physics</t>
        </is>
      </c>
      <c r="B15" s="12" t="inlineStr">
        <is>
          <t>Weak on linear algebra/calc</t>
        </is>
      </c>
      <c r="C15" s="12" t="inlineStr">
        <is>
          <t>Basics only</t>
        </is>
      </c>
      <c r="D15" s="12" t="inlineStr">
        <is>
          <t>Solid undergraduate math</t>
        </is>
      </c>
      <c r="E15" s="12" t="inlineStr">
        <is>
          <t>Strong — comfortable with matrices, ODEs, dynamics</t>
        </is>
      </c>
      <c r="F15" s="12" t="inlineStr">
        <is>
          <t>Excellent — can derive equations of motion, handles quaternions, etc.</t>
        </is>
      </c>
    </row>
    <row r="16" ht="45" customHeight="1" s="31">
      <c r="A16" s="20" t="inlineStr">
        <is>
          <t>Tech-Coding</t>
        </is>
      </c>
      <c r="B16" s="12" t="inlineStr">
        <is>
          <t>Cannot write a basic script</t>
        </is>
      </c>
      <c r="C16" s="12" t="inlineStr">
        <is>
          <t>Can write MATLAB scripts only</t>
        </is>
      </c>
      <c r="D16" s="12" t="inlineStr">
        <is>
          <t>MATLAB + some Python</t>
        </is>
      </c>
      <c r="E16" s="12" t="inlineStr">
        <is>
          <t>Solid in MATLAB + Python, some C</t>
        </is>
      </c>
      <c r="F16" s="12" t="inlineStr">
        <is>
          <t>Fluent in MATLAB/Simulink + Python + C/C++, git, debugging</t>
        </is>
      </c>
    </row>
    <row r="17" ht="45" customHeight="1" s="31">
      <c r="A17" s="20" t="inlineStr">
        <is>
          <t>Tech-Debugging Mindset</t>
        </is>
      </c>
      <c r="B17" s="12" t="inlineStr">
        <is>
          <t>Gives up quickly</t>
        </is>
      </c>
      <c r="C17" s="12" t="inlineStr">
        <is>
          <t>Tries one approach, then stuck</t>
        </is>
      </c>
      <c r="D17" s="12" t="inlineStr">
        <is>
          <t>Systematic but slow</t>
        </is>
      </c>
      <c r="E17" s="12" t="inlineStr">
        <is>
          <t>Hypothesis-driven, reads logs</t>
        </is>
      </c>
      <c r="F17" s="12" t="inlineStr">
        <is>
          <t>Excellent — isolates variables, reads code/logs, iterates fast</t>
        </is>
      </c>
    </row>
    <row r="18" ht="45" customHeight="1" s="31">
      <c r="A18" s="20" t="inlineStr">
        <is>
          <t>Tech-Communication</t>
        </is>
      </c>
      <c r="B18" s="12" t="inlineStr">
        <is>
          <t>Cannot explain their work</t>
        </is>
      </c>
      <c r="C18" s="12" t="inlineStr">
        <is>
          <t>Vague, jargon-heavy or missing</t>
        </is>
      </c>
      <c r="D18" s="12" t="inlineStr">
        <is>
          <t>Clear on simple things</t>
        </is>
      </c>
      <c r="E18" s="12" t="inlineStr">
        <is>
          <t>Explains tradeoffs and reasoning well</t>
        </is>
      </c>
      <c r="F18" s="12" t="inlineStr">
        <is>
          <t>Excellent — concise, structured, asks good questions</t>
        </is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9" sqref="A9"/>
    </sheetView>
  </sheetViews>
  <sheetFormatPr baseColWidth="8" defaultColWidth="14.42578125" defaultRowHeight="15" customHeight="1"/>
  <cols>
    <col width="32" customWidth="1" style="31" min="1" max="1"/>
    <col width="8" customWidth="1" style="31" min="2" max="2"/>
    <col width="32" customWidth="1" style="31" min="3" max="3"/>
    <col width="8.7109375" customWidth="1" style="31" min="4" max="4"/>
    <col width="8" customWidth="1" style="31" min="5" max="6"/>
    <col width="8.7109375" customWidth="1" style="31" min="7" max="26"/>
  </cols>
  <sheetData>
    <row r="1">
      <c r="A1" s="4" t="inlineStr">
        <is>
          <t>University</t>
        </is>
      </c>
      <c r="B1" s="4" t="inlineStr">
        <is>
          <t>Tier</t>
        </is>
      </c>
      <c r="C1" s="4" t="inlineStr">
        <is>
          <t>Notes</t>
        </is>
      </c>
      <c r="E1" s="4" t="inlineStr">
        <is>
          <t>Tier</t>
        </is>
      </c>
      <c r="F1" s="4" t="inlineStr">
        <is>
          <t>Score</t>
        </is>
      </c>
    </row>
    <row r="2">
      <c r="A2" s="21" t="inlineStr">
        <is>
          <t>METU (ODTÜ)</t>
        </is>
      </c>
      <c r="B2" s="22" t="inlineStr">
        <is>
          <t>A</t>
        </is>
      </c>
      <c r="C2" s="17" t="inlineStr">
        <is>
          <t>Strong aerospace, control, EE</t>
        </is>
      </c>
      <c r="E2" s="13" t="inlineStr">
        <is>
          <t>A</t>
        </is>
      </c>
      <c r="F2" s="13" t="n">
        <v>5</v>
      </c>
    </row>
    <row r="3">
      <c r="A3" s="21" t="inlineStr">
        <is>
          <t>ITU</t>
        </is>
      </c>
      <c r="B3" s="22" t="inlineStr">
        <is>
          <t>A</t>
        </is>
      </c>
      <c r="C3" s="17" t="inlineStr">
        <is>
          <t>Strong aerospace, control</t>
        </is>
      </c>
      <c r="E3" s="13" t="inlineStr">
        <is>
          <t>B</t>
        </is>
      </c>
      <c r="F3" s="13" t="n">
        <v>4</v>
      </c>
    </row>
    <row r="4">
      <c r="A4" s="21" t="inlineStr">
        <is>
          <t>Bilkent</t>
        </is>
      </c>
      <c r="B4" s="22" t="inlineStr">
        <is>
          <t>A</t>
        </is>
      </c>
      <c r="C4" s="17" t="inlineStr">
        <is>
          <t>Strong EE, ME</t>
        </is>
      </c>
      <c r="E4" s="13" t="inlineStr">
        <is>
          <t>C</t>
        </is>
      </c>
      <c r="F4" s="13" t="n">
        <v>3</v>
      </c>
    </row>
    <row r="5">
      <c r="A5" s="21" t="inlineStr">
        <is>
          <t>Boğaziçi</t>
        </is>
      </c>
      <c r="B5" s="22" t="inlineStr">
        <is>
          <t>A</t>
        </is>
      </c>
      <c r="C5" s="17" t="inlineStr">
        <is>
          <t>Strong EE, ME</t>
        </is>
      </c>
      <c r="E5" s="13" t="inlineStr">
        <is>
          <t>D</t>
        </is>
      </c>
      <c r="F5" s="13" t="n">
        <v>2</v>
      </c>
    </row>
    <row r="6">
      <c r="A6" s="21" t="inlineStr">
        <is>
          <t>Koç</t>
        </is>
      </c>
      <c r="B6" s="22" t="inlineStr">
        <is>
          <t>A</t>
        </is>
      </c>
      <c r="C6" s="17" t="inlineStr">
        <is>
          <t>Strong EE, ME</t>
        </is>
      </c>
      <c r="E6" s="13" t="n"/>
      <c r="F6" s="13" t="n">
        <v>1</v>
      </c>
    </row>
    <row r="7">
      <c r="A7" s="21" t="inlineStr">
        <is>
          <t>Sabancı</t>
        </is>
      </c>
      <c r="B7" s="22" t="inlineStr">
        <is>
          <t>A</t>
        </is>
      </c>
      <c r="C7" s="17" t="inlineStr">
        <is>
          <t>Strong EE, mechatronics</t>
        </is>
      </c>
    </row>
    <row r="8">
      <c r="A8" s="21" t="inlineStr">
        <is>
          <t>Hacettepe</t>
        </is>
      </c>
      <c r="B8" s="22" t="inlineStr">
        <is>
          <t>B</t>
        </is>
      </c>
      <c r="C8" s="17" t="n"/>
    </row>
    <row r="9">
      <c r="A9" s="21" t="inlineStr">
        <is>
          <t>Yıldız Teknik</t>
        </is>
      </c>
      <c r="B9" s="22" t="inlineStr">
        <is>
          <t>B</t>
        </is>
      </c>
      <c r="C9" s="17" t="inlineStr">
        <is>
          <t>Strong ME, control</t>
        </is>
      </c>
    </row>
    <row r="10">
      <c r="A10" s="21" t="inlineStr">
        <is>
          <t>Gazi</t>
        </is>
      </c>
      <c r="B10" s="22" t="inlineStr">
        <is>
          <t>B</t>
        </is>
      </c>
      <c r="C10" s="17" t="n"/>
    </row>
    <row r="11">
      <c r="A11" s="21" t="inlineStr">
        <is>
          <t>TOBB ETÜ</t>
        </is>
      </c>
      <c r="B11" s="22" t="inlineStr">
        <is>
          <t>B</t>
        </is>
      </c>
      <c r="C11" s="17" t="n"/>
    </row>
    <row r="12">
      <c r="A12" s="21" t="inlineStr">
        <is>
          <t>Ankara Üniversitesi</t>
        </is>
      </c>
      <c r="B12" s="22" t="inlineStr">
        <is>
          <t>B</t>
        </is>
      </c>
      <c r="C12" s="17" t="n"/>
    </row>
    <row r="13">
      <c r="A13" s="21" t="inlineStr">
        <is>
          <t>Ege</t>
        </is>
      </c>
      <c r="B13" s="22" t="inlineStr">
        <is>
          <t>B</t>
        </is>
      </c>
      <c r="C13" s="17" t="n"/>
    </row>
    <row r="14">
      <c r="A14" s="21" t="inlineStr">
        <is>
          <t>Erciyes</t>
        </is>
      </c>
      <c r="B14" s="22" t="inlineStr">
        <is>
          <t>B</t>
        </is>
      </c>
      <c r="C14" s="17" t="inlineStr">
        <is>
          <t>Aerospace program</t>
        </is>
      </c>
    </row>
    <row r="15">
      <c r="A15" s="21" t="inlineStr">
        <is>
          <t>Eskişehir Osmangazi</t>
        </is>
      </c>
      <c r="B15" s="22" t="inlineStr">
        <is>
          <t>B</t>
        </is>
      </c>
      <c r="C15" s="17" t="n"/>
    </row>
    <row r="16">
      <c r="A16" s="21" t="inlineStr">
        <is>
          <t>Eskişehir Teknik (Anadolu)</t>
        </is>
      </c>
      <c r="B16" s="22" t="inlineStr">
        <is>
          <t>B</t>
        </is>
      </c>
      <c r="C16" s="17" t="inlineStr">
        <is>
          <t>Aerospace program</t>
        </is>
      </c>
    </row>
    <row r="17">
      <c r="A17" s="21" t="inlineStr">
        <is>
          <t>Atılım</t>
        </is>
      </c>
      <c r="B17" s="22" t="inlineStr">
        <is>
          <t>B</t>
        </is>
      </c>
      <c r="C17" s="17" t="n"/>
    </row>
    <row r="18">
      <c r="A18" s="21" t="inlineStr">
        <is>
          <t>İzmir Yüksek Teknoloji (IYTE)</t>
        </is>
      </c>
      <c r="B18" s="22" t="inlineStr">
        <is>
          <t>B</t>
        </is>
      </c>
      <c r="C18" s="17" t="n"/>
    </row>
    <row r="19">
      <c r="A19" s="21" t="inlineStr">
        <is>
          <t>Çukurova</t>
        </is>
      </c>
      <c r="B19" s="22" t="inlineStr">
        <is>
          <t>C</t>
        </is>
      </c>
      <c r="C19" s="17" t="n"/>
    </row>
    <row r="20">
      <c r="A20" s="21" t="inlineStr">
        <is>
          <t>Selçuk</t>
        </is>
      </c>
      <c r="B20" s="22" t="inlineStr">
        <is>
          <t>C</t>
        </is>
      </c>
      <c r="C20" s="17" t="n"/>
    </row>
    <row r="21" ht="15.75" customHeight="1" s="31">
      <c r="A21" s="21" t="inlineStr">
        <is>
          <t>Karadeniz Teknik (KTÜ)</t>
        </is>
      </c>
      <c r="B21" s="22" t="inlineStr">
        <is>
          <t>C</t>
        </is>
      </c>
      <c r="C21" s="17" t="n"/>
    </row>
    <row r="22" ht="15.75" customHeight="1" s="31">
      <c r="A22" s="21" t="inlineStr">
        <is>
          <t>Samsun Üniversitesi</t>
        </is>
      </c>
      <c r="B22" s="22" t="inlineStr">
        <is>
          <t>C</t>
        </is>
      </c>
      <c r="C22" s="17" t="inlineStr">
        <is>
          <t>Aerospace program</t>
        </is>
      </c>
    </row>
    <row r="23" ht="15.75" customHeight="1" s="31">
      <c r="A23" s="21" t="inlineStr">
        <is>
          <t>THK Üniversitesi</t>
        </is>
      </c>
      <c r="B23" s="22" t="inlineStr">
        <is>
          <t>C</t>
        </is>
      </c>
      <c r="C23" s="17" t="inlineStr">
        <is>
          <t>Aviation focus</t>
        </is>
      </c>
    </row>
    <row r="24" ht="15.75" customHeight="1" s="31">
      <c r="A24" s="21" t="inlineStr">
        <is>
          <t>Other</t>
        </is>
      </c>
      <c r="B24" s="22" t="inlineStr">
        <is>
          <t>D</t>
        </is>
      </c>
      <c r="C24" s="17" t="inlineStr">
        <is>
          <t>Default for unlisted unis</t>
        </is>
      </c>
    </row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zoomScale="115" zoomScaleNormal="115" workbookViewId="0">
      <selection activeCell="A7" sqref="A7"/>
    </sheetView>
  </sheetViews>
  <sheetFormatPr baseColWidth="8" defaultColWidth="14.42578125" defaultRowHeight="15" customHeight="1"/>
  <cols>
    <col width="42" customWidth="1" style="31" min="1" max="1"/>
    <col width="12" customWidth="1" style="31" min="2" max="2"/>
    <col width="45" customWidth="1" style="31" min="3" max="3"/>
    <col width="8.7109375" customWidth="1" style="31" min="4" max="26"/>
  </cols>
  <sheetData>
    <row r="1">
      <c r="A1" s="4" t="inlineStr">
        <is>
          <t>Department</t>
        </is>
      </c>
      <c r="B1" s="4" t="inlineStr">
        <is>
          <t>Fit Score</t>
        </is>
      </c>
      <c r="C1" s="4" t="inlineStr">
        <is>
          <t>Notes</t>
        </is>
      </c>
    </row>
    <row r="2">
      <c r="A2" s="21" t="inlineStr">
        <is>
          <t>Aerospace Engineering</t>
        </is>
      </c>
      <c r="B2" s="22" t="n">
        <v>5</v>
      </c>
      <c r="C2" s="17" t="inlineStr">
        <is>
          <t>Direct fit</t>
        </is>
      </c>
    </row>
    <row r="3">
      <c r="A3" s="21" t="inlineStr">
        <is>
          <t>Aeronautical Engineering</t>
        </is>
      </c>
      <c r="B3" s="22" t="n">
        <v>5</v>
      </c>
      <c r="C3" s="17" t="inlineStr">
        <is>
          <t>Direct fit</t>
        </is>
      </c>
    </row>
    <row r="4">
      <c r="A4" s="21" t="inlineStr">
        <is>
          <t>Astronautical Engineering</t>
        </is>
      </c>
      <c r="B4" s="22" t="n">
        <v>5</v>
      </c>
      <c r="C4" s="17" t="inlineStr">
        <is>
          <t>Direct fit</t>
        </is>
      </c>
    </row>
    <row r="5">
      <c r="A5" s="21" t="inlineStr">
        <is>
          <t>Electrical &amp; Electronics Engineering</t>
        </is>
      </c>
      <c r="B5" s="22" t="n">
        <v>4</v>
      </c>
      <c r="C5" s="17" t="inlineStr">
        <is>
          <t>Close — controls, embedded, signals</t>
        </is>
      </c>
    </row>
    <row r="6">
      <c r="A6" s="21" t="inlineStr">
        <is>
          <t>Electronics Engineering</t>
        </is>
      </c>
      <c r="B6" s="22" t="n">
        <v>4</v>
      </c>
      <c r="C6" s="17" t="n"/>
    </row>
    <row r="7">
      <c r="A7" s="21" t="inlineStr">
        <is>
          <t>Control Engineering</t>
        </is>
      </c>
      <c r="B7" s="22" t="n">
        <v>4</v>
      </c>
      <c r="C7" s="17" t="n"/>
    </row>
    <row r="8">
      <c r="A8" s="21" t="inlineStr">
        <is>
          <t>Mechatronics Engineering</t>
        </is>
      </c>
      <c r="B8" s="22" t="n">
        <v>4</v>
      </c>
      <c r="C8" s="17" t="n"/>
    </row>
    <row r="9">
      <c r="A9" s="21" t="inlineStr">
        <is>
          <t>Mechanical Engineering</t>
        </is>
      </c>
      <c r="B9" s="22" t="n">
        <v>3</v>
      </c>
      <c r="C9" s="17" t="inlineStr">
        <is>
          <t>Adjacent — depends on electives</t>
        </is>
      </c>
    </row>
    <row r="10">
      <c r="A10" s="21" t="inlineStr">
        <is>
          <t>Aircraft Maintenance / Airframes</t>
        </is>
      </c>
      <c r="B10" s="22" t="n">
        <v>3</v>
      </c>
      <c r="C10" s="17" t="n"/>
    </row>
    <row r="11">
      <c r="A11" s="21" t="inlineStr">
        <is>
          <t>Computer Engineering</t>
        </is>
      </c>
      <c r="B11" s="22" t="n">
        <v>3</v>
      </c>
      <c r="C11" s="17" t="inlineStr">
        <is>
          <t>Depends on math + embedded background</t>
        </is>
      </c>
    </row>
    <row r="12">
      <c r="A12" s="21" t="inlineStr">
        <is>
          <t>Software Engineering</t>
        </is>
      </c>
      <c r="B12" s="22" t="n">
        <v>2</v>
      </c>
      <c r="C12" s="17" t="inlineStr">
        <is>
          <t>Distant unless strong math + projects</t>
        </is>
      </c>
    </row>
    <row r="13">
      <c r="A13" s="21" t="inlineStr">
        <is>
          <t>Industrial Engineering</t>
        </is>
      </c>
      <c r="B13" s="22" t="n">
        <v>2</v>
      </c>
      <c r="C13" s="17" t="n"/>
    </row>
    <row r="14">
      <c r="A14" s="21" t="inlineStr">
        <is>
          <t>Physics</t>
        </is>
      </c>
      <c r="B14" s="22" t="n">
        <v>3</v>
      </c>
      <c r="C14" s="17" t="inlineStr">
        <is>
          <t>Strong math, may lack engineering tools</t>
        </is>
      </c>
    </row>
    <row r="15">
      <c r="A15" s="21" t="inlineStr">
        <is>
          <t>Other</t>
        </is>
      </c>
      <c r="B15" s="22" t="n">
        <v>1</v>
      </c>
      <c r="C15" s="17" t="inlineStr">
        <is>
          <t>Default — investigate case by case</t>
        </is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8" customWidth="1" style="31" min="1" max="1"/>
    <col width="10" customWidth="1" style="31" min="2" max="2"/>
    <col width="50" customWidth="1" style="31" min="3" max="3"/>
    <col width="8.7109375" customWidth="1" style="31" min="4" max="26"/>
  </cols>
  <sheetData>
    <row r="1">
      <c r="A1" s="4" t="inlineStr">
        <is>
          <t>Academic Status</t>
        </is>
      </c>
      <c r="B1" s="4" t="inlineStr">
        <is>
          <t>Score</t>
        </is>
      </c>
      <c r="C1" s="4" t="inlineStr">
        <is>
          <t>Notes</t>
        </is>
      </c>
    </row>
    <row r="2">
      <c r="A2" s="21" t="inlineStr">
        <is>
          <t>3rd year</t>
        </is>
      </c>
      <c r="B2" s="22" t="n">
        <v>4</v>
      </c>
      <c r="C2" s="17" t="inlineStr">
        <is>
          <t>Junior — still in school, available long-term</t>
        </is>
      </c>
    </row>
    <row r="3">
      <c r="A3" s="21" t="inlineStr">
        <is>
          <t>4th year</t>
        </is>
      </c>
      <c r="B3" s="22" t="n">
        <v>5</v>
      </c>
      <c r="C3" s="17" t="inlineStr">
        <is>
          <t>Senior — close to graduation, best continuity</t>
        </is>
      </c>
    </row>
    <row r="4">
      <c r="A4" s="21" t="inlineStr">
        <is>
          <t>Fresh graduate (&lt;1 yr)</t>
        </is>
      </c>
      <c r="B4" s="22" t="n">
        <v>5</v>
      </c>
      <c r="C4" s="17" t="inlineStr">
        <is>
          <t>Just graduated, full availability</t>
        </is>
      </c>
    </row>
    <row r="5">
      <c r="A5" s="21" t="inlineStr">
        <is>
          <t>Graduated 1–2 yrs ago</t>
        </is>
      </c>
      <c r="B5" s="22" t="n">
        <v>4</v>
      </c>
      <c r="C5" s="17" t="inlineStr">
        <is>
          <t>Recent grad</t>
        </is>
      </c>
    </row>
    <row r="6">
      <c r="A6" s="21" t="inlineStr">
        <is>
          <t>Graduated 2–3 yrs ago</t>
        </is>
      </c>
      <c r="B6" s="22" t="n">
        <v>3</v>
      </c>
      <c r="C6" s="17" t="inlineStr">
        <is>
          <t>Some gap — check what they did meanwhile</t>
        </is>
      </c>
    </row>
    <row r="7">
      <c r="A7" s="21" t="inlineStr">
        <is>
          <t>Graduated &gt;3 yrs ago</t>
        </is>
      </c>
      <c r="B7" s="22" t="n">
        <v>2</v>
      </c>
      <c r="C7" s="17" t="inlineStr">
        <is>
          <t>Long gap — needs justification</t>
        </is>
      </c>
    </row>
    <row r="8">
      <c r="A8" s="21" t="inlineStr">
        <is>
          <t>MSc student</t>
        </is>
      </c>
      <c r="B8" s="22" t="n">
        <v>4</v>
      </c>
      <c r="C8" s="17" t="inlineStr">
        <is>
          <t>Active in academia, likely strong</t>
        </is>
      </c>
    </row>
    <row r="9">
      <c r="A9" s="21" t="inlineStr">
        <is>
          <t>MSc graduate</t>
        </is>
      </c>
      <c r="B9" s="22" t="n">
        <v>4</v>
      </c>
      <c r="C9" s="17" t="inlineStr">
        <is>
          <t>Advanced, may want senior role</t>
        </is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32" customWidth="1" style="31" min="1" max="1"/>
    <col width="10" customWidth="1" style="31" min="2" max="2"/>
    <col width="8.7109375" customWidth="1" style="31" min="3" max="26"/>
  </cols>
  <sheetData>
    <row r="1">
      <c r="A1" s="4" t="inlineStr">
        <is>
          <t>Teknofest Level</t>
        </is>
      </c>
      <c r="B1" s="4" t="inlineStr">
        <is>
          <t>Score</t>
        </is>
      </c>
    </row>
    <row r="2">
      <c r="A2" s="21" t="inlineStr">
        <is>
          <t>None</t>
        </is>
      </c>
      <c r="B2" s="22" t="n">
        <v>1</v>
      </c>
    </row>
    <row r="3">
      <c r="A3" s="21" t="inlineStr">
        <is>
          <t>Applied only</t>
        </is>
      </c>
      <c r="B3" s="22" t="n">
        <v>2</v>
      </c>
    </row>
    <row r="4">
      <c r="A4" s="21" t="inlineStr">
        <is>
          <t>Participated once</t>
        </is>
      </c>
      <c r="B4" s="22" t="n">
        <v>3</v>
      </c>
    </row>
    <row r="5">
      <c r="A5" s="21" t="inlineStr">
        <is>
          <t>Participated multiple times</t>
        </is>
      </c>
      <c r="B5" s="22" t="n">
        <v>4</v>
      </c>
    </row>
    <row r="6">
      <c r="A6" s="21" t="inlineStr">
        <is>
          <t>Podium / finals</t>
        </is>
      </c>
      <c r="B6" s="22" t="n">
        <v>5</v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2026-06-22T07:38:46Z</dcterms:created>
  <dcterms:modified xsi:type="dcterms:W3CDTF">2026-06-22T07:43:16Z</dcterms:modified>
  <cp:lastModifiedBy>Admin</cp:lastModifiedBy>
</cp:coreProperties>
</file>